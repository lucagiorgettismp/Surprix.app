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ri" state="visible" r:id="rId4"/>
    <sheet sheetId="2" name="Dati" state="visible" r:id="rId5"/>
    <sheet sheetId="3" name="Istruzioni" state="visible" r:id="rId6"/>
  </sheets>
  <calcPr calcId="171027"/>
</workbook>
</file>

<file path=xl/sharedStrings.xml><?xml version="1.0" encoding="utf-8"?>
<sst xmlns="http://schemas.openxmlformats.org/spreadsheetml/2006/main" count="3856" uniqueCount="1180">
  <si>
    <t>PARAMETRI — modifica le celle gialle</t>
  </si>
  <si>
    <t>SOGLIE RARITÀ</t>
  </si>
  <si>
    <t>T3 — soglia rarità 3</t>
  </si>
  <si>
    <t>T2 — soglia rarità 2</t>
  </si>
  <si>
    <t>PESI SCORE</t>
  </si>
  <si>
    <t>Peso mancanti (0–1)</t>
  </si>
  <si>
    <t>Peso doppi inv. (0–1)</t>
  </si>
  <si>
    <t>FILTRI</t>
  </si>
  <si>
    <t>Min interazioni totali</t>
  </si>
  <si>
    <t>Annata</t>
  </si>
  <si>
    <t>Serie</t>
  </si>
  <si>
    <t>Categoria</t>
  </si>
  <si>
    <t>Codice</t>
  </si>
  <si>
    <t>Descrizione</t>
  </si>
  <si>
    <t>Mancanti</t>
  </si>
  <si>
    <t>Doppi</t>
  </si>
  <si>
    <t>Tot. interazioni</t>
  </si>
  <si>
    <t>Pct mancanti</t>
  </si>
  <si>
    <t>Pct doppi inv.</t>
  </si>
  <si>
    <t>Score</t>
  </si>
  <si>
    <t>Rarità calcolata</t>
  </si>
  <si>
    <t>Rarità attuale</t>
  </si>
  <si>
    <t>Stato</t>
  </si>
  <si>
    <t>2025/2026</t>
  </si>
  <si>
    <t>Animal Families - Crab and Monkey</t>
  </si>
  <si>
    <t>Compo</t>
  </si>
  <si>
    <t>VC025</t>
  </si>
  <si>
    <t>Crab family</t>
  </si>
  <si>
    <t/>
  </si>
  <si>
    <t>con dati</t>
  </si>
  <si>
    <t>VC026</t>
  </si>
  <si>
    <t>Monkey family</t>
  </si>
  <si>
    <t>Animal Families - Duck and Frog</t>
  </si>
  <si>
    <t>VC018</t>
  </si>
  <si>
    <t>Duck family</t>
  </si>
  <si>
    <t>VC019</t>
  </si>
  <si>
    <t>Frog family</t>
  </si>
  <si>
    <t>Animal Families - Elephant and Giraffe</t>
  </si>
  <si>
    <t>VC033</t>
  </si>
  <si>
    <t>Elefant family</t>
  </si>
  <si>
    <t>VC034</t>
  </si>
  <si>
    <t>Giraffe family</t>
  </si>
  <si>
    <t>Animal Families - Hedgehog and Squirrel</t>
  </si>
  <si>
    <t>VC020</t>
  </si>
  <si>
    <t>Hedgehog family</t>
  </si>
  <si>
    <t>VC021</t>
  </si>
  <si>
    <t>Squirrel family</t>
  </si>
  <si>
    <t>Animal Families - Moose and Sheep</t>
  </si>
  <si>
    <t>VC023</t>
  </si>
  <si>
    <t>Moose family</t>
  </si>
  <si>
    <t>VC024</t>
  </si>
  <si>
    <t>Sheep family</t>
  </si>
  <si>
    <t>Animal Families - Penguin and Seal</t>
  </si>
  <si>
    <t>VC016</t>
  </si>
  <si>
    <t>Penguin family</t>
  </si>
  <si>
    <t>n/d</t>
  </si>
  <si>
    <t>skippato</t>
  </si>
  <si>
    <t>VC017</t>
  </si>
  <si>
    <t>Seal family</t>
  </si>
  <si>
    <t>Animal Families - Rabbit and Mouse</t>
  </si>
  <si>
    <t>VC014</t>
  </si>
  <si>
    <t>Rabbit family</t>
  </si>
  <si>
    <t>VC015</t>
  </si>
  <si>
    <t>Mouse family</t>
  </si>
  <si>
    <t>Animal Spinner</t>
  </si>
  <si>
    <t>VC258</t>
  </si>
  <si>
    <t>Sea spinner</t>
  </si>
  <si>
    <t>VC258A</t>
  </si>
  <si>
    <t>Jungle spinner</t>
  </si>
  <si>
    <t>Animal Stamps</t>
  </si>
  <si>
    <t>VQ047</t>
  </si>
  <si>
    <t>Mouse stamp</t>
  </si>
  <si>
    <t>VQ048</t>
  </si>
  <si>
    <t>Parrot stamp</t>
  </si>
  <si>
    <t>Christmas 2025</t>
  </si>
  <si>
    <t>Hand_painted</t>
  </si>
  <si>
    <t>VC240</t>
  </si>
  <si>
    <t>Elf green with snow scooter</t>
  </si>
  <si>
    <t>VD259A</t>
  </si>
  <si>
    <t>Santa with sleigh</t>
  </si>
  <si>
    <t>VD262A</t>
  </si>
  <si>
    <t>Reindeer on snowboard</t>
  </si>
  <si>
    <t>VD266B</t>
  </si>
  <si>
    <t>Santa with snowmobile</t>
  </si>
  <si>
    <t>VQ252A</t>
  </si>
  <si>
    <t>Gingerbread man</t>
  </si>
  <si>
    <t>VQ254A</t>
  </si>
  <si>
    <t>Santa with motor sled</t>
  </si>
  <si>
    <t>VQ255A</t>
  </si>
  <si>
    <t>Owl</t>
  </si>
  <si>
    <t>VQ257A</t>
  </si>
  <si>
    <t>Elf red with snowboard</t>
  </si>
  <si>
    <t>VQ259A</t>
  </si>
  <si>
    <t>Polar bear</t>
  </si>
  <si>
    <t>VQ260A</t>
  </si>
  <si>
    <t>Reindeer on skis</t>
  </si>
  <si>
    <t>VQ263A</t>
  </si>
  <si>
    <t>Squirrel</t>
  </si>
  <si>
    <t>VT240A</t>
  </si>
  <si>
    <t>Snowman</t>
  </si>
  <si>
    <t>Come closer</t>
  </si>
  <si>
    <t>VC069</t>
  </si>
  <si>
    <t>Crocodile</t>
  </si>
  <si>
    <t>VC070</t>
  </si>
  <si>
    <t>Elephant</t>
  </si>
  <si>
    <t>Come in my Arms</t>
  </si>
  <si>
    <t>VC081</t>
  </si>
  <si>
    <t>Blue alien</t>
  </si>
  <si>
    <t>VC081A</t>
  </si>
  <si>
    <t>Red alien</t>
  </si>
  <si>
    <t>DC Playmobil</t>
  </si>
  <si>
    <t>VC291</t>
  </si>
  <si>
    <t>Superman</t>
  </si>
  <si>
    <t>VC292</t>
  </si>
  <si>
    <t>Supergirl</t>
  </si>
  <si>
    <t>VC293</t>
  </si>
  <si>
    <t>The Flash</t>
  </si>
  <si>
    <t>VC294</t>
  </si>
  <si>
    <t>Green Lantern</t>
  </si>
  <si>
    <t>VC295</t>
  </si>
  <si>
    <t>Aquaman</t>
  </si>
  <si>
    <t>VC296</t>
  </si>
  <si>
    <t>Mera</t>
  </si>
  <si>
    <t>VC297</t>
  </si>
  <si>
    <t>Batgirl</t>
  </si>
  <si>
    <t>VC298</t>
  </si>
  <si>
    <t>Batman</t>
  </si>
  <si>
    <t>VC299</t>
  </si>
  <si>
    <t>Catwoman</t>
  </si>
  <si>
    <t>VC300</t>
  </si>
  <si>
    <t>Cyborg</t>
  </si>
  <si>
    <t>VC301</t>
  </si>
  <si>
    <t>The Riddler</t>
  </si>
  <si>
    <t>VC302</t>
  </si>
  <si>
    <t>Wonder Woman</t>
  </si>
  <si>
    <t>VC303</t>
  </si>
  <si>
    <t>Harley Quinn</t>
  </si>
  <si>
    <t>VC304</t>
  </si>
  <si>
    <t>Black Adam</t>
  </si>
  <si>
    <t>VC305</t>
  </si>
  <si>
    <t>Robin</t>
  </si>
  <si>
    <t>VC306</t>
  </si>
  <si>
    <t>Joker</t>
  </si>
  <si>
    <t>Demolition Stars</t>
  </si>
  <si>
    <t>VC088</t>
  </si>
  <si>
    <t>Wrecking ball</t>
  </si>
  <si>
    <t>VC089</t>
  </si>
  <si>
    <t>Concrete nibbler</t>
  </si>
  <si>
    <t>Do not squezze me</t>
  </si>
  <si>
    <t>VC076</t>
  </si>
  <si>
    <t>VC077</t>
  </si>
  <si>
    <t>Parrot on the beach</t>
  </si>
  <si>
    <t>Dodos Return</t>
  </si>
  <si>
    <t>VC002</t>
  </si>
  <si>
    <t>Dodo yellow</t>
  </si>
  <si>
    <t>VC002B</t>
  </si>
  <si>
    <t>Dodo light blue</t>
  </si>
  <si>
    <t>Easter 2026</t>
  </si>
  <si>
    <t>VC241</t>
  </si>
  <si>
    <t>Red Bird</t>
  </si>
  <si>
    <t>VC244</t>
  </si>
  <si>
    <t>Hedgehog</t>
  </si>
  <si>
    <t>VC245</t>
  </si>
  <si>
    <t>Pink Rabbit</t>
  </si>
  <si>
    <t>VC246</t>
  </si>
  <si>
    <t>Frog</t>
  </si>
  <si>
    <t>VC247</t>
  </si>
  <si>
    <t>Black sheep</t>
  </si>
  <si>
    <t>VC250</t>
  </si>
  <si>
    <t>Chick</t>
  </si>
  <si>
    <t>VC251</t>
  </si>
  <si>
    <t>Blue Bird</t>
  </si>
  <si>
    <t>VC252</t>
  </si>
  <si>
    <t>Fox</t>
  </si>
  <si>
    <t>VC253</t>
  </si>
  <si>
    <t>Chicken</t>
  </si>
  <si>
    <t>VC254</t>
  </si>
  <si>
    <t>Blue Rabbit</t>
  </si>
  <si>
    <t>VC385</t>
  </si>
  <si>
    <t>Rooster</t>
  </si>
  <si>
    <t>VC242</t>
  </si>
  <si>
    <t>White sheep</t>
  </si>
  <si>
    <t>Excavators</t>
  </si>
  <si>
    <t>VC008</t>
  </si>
  <si>
    <t>Excavator</t>
  </si>
  <si>
    <t>VC009</t>
  </si>
  <si>
    <t>Demolition excavator</t>
  </si>
  <si>
    <t>Fairies World</t>
  </si>
  <si>
    <t>VT023A</t>
  </si>
  <si>
    <t>Fairy Agnes</t>
  </si>
  <si>
    <t>VT023B</t>
  </si>
  <si>
    <t>Fairy Bea</t>
  </si>
  <si>
    <t>VT024A</t>
  </si>
  <si>
    <t>Fairy Monika</t>
  </si>
  <si>
    <t>VT024B</t>
  </si>
  <si>
    <t>Fairy Wanda</t>
  </si>
  <si>
    <t>VT025A</t>
  </si>
  <si>
    <t>Flowee Regina</t>
  </si>
  <si>
    <t>VT025B</t>
  </si>
  <si>
    <t>Flowee Jasmin</t>
  </si>
  <si>
    <t>VT026A</t>
  </si>
  <si>
    <t>Flowee Stella</t>
  </si>
  <si>
    <t>VT026B</t>
  </si>
  <si>
    <t>Flowee Ruby</t>
  </si>
  <si>
    <t>VT035A</t>
  </si>
  <si>
    <t>Crystal rescal bracialet green</t>
  </si>
  <si>
    <t>VT035B</t>
  </si>
  <si>
    <t>Crystal rescal bracialet red</t>
  </si>
  <si>
    <t>VT036A</t>
  </si>
  <si>
    <t>Crystal hopper bracialet blue</t>
  </si>
  <si>
    <t>VT036B</t>
  </si>
  <si>
    <t>Crystal hopper bracialet pink</t>
  </si>
  <si>
    <t>VT038A</t>
  </si>
  <si>
    <t>Gipsy</t>
  </si>
  <si>
    <t>VT038B</t>
  </si>
  <si>
    <t>Rose</t>
  </si>
  <si>
    <t>VT040B</t>
  </si>
  <si>
    <t>Flower</t>
  </si>
  <si>
    <t>VT041C</t>
  </si>
  <si>
    <t>Butterfly</t>
  </si>
  <si>
    <t>VT048D</t>
  </si>
  <si>
    <t>Monika's House</t>
  </si>
  <si>
    <t>VT048E</t>
  </si>
  <si>
    <t>Agnes's House</t>
  </si>
  <si>
    <t>VT049A</t>
  </si>
  <si>
    <t>Dangle Dragonfly purple</t>
  </si>
  <si>
    <t>VT064A</t>
  </si>
  <si>
    <t>Butterfly Box</t>
  </si>
  <si>
    <t>VT065A</t>
  </si>
  <si>
    <t>Star Box</t>
  </si>
  <si>
    <t>VT076B</t>
  </si>
  <si>
    <t>Mochi</t>
  </si>
  <si>
    <t>VT076C</t>
  </si>
  <si>
    <t>Gaia</t>
  </si>
  <si>
    <t>VT094A</t>
  </si>
  <si>
    <t>Crown beaver purple</t>
  </si>
  <si>
    <t>VT094B</t>
  </si>
  <si>
    <t>Crown beaver orange</t>
  </si>
  <si>
    <t>VT095A</t>
  </si>
  <si>
    <t>Crown rabbit green</t>
  </si>
  <si>
    <t>VT095B</t>
  </si>
  <si>
    <t>Crown rabbit red</t>
  </si>
  <si>
    <t>VT096A</t>
  </si>
  <si>
    <t>Hoggy pink</t>
  </si>
  <si>
    <t>VT096B</t>
  </si>
  <si>
    <t>Hoggy purple</t>
  </si>
  <si>
    <t>VT097A</t>
  </si>
  <si>
    <t>Rascal light blue</t>
  </si>
  <si>
    <t>VT097B</t>
  </si>
  <si>
    <t>Rascal pink</t>
  </si>
  <si>
    <t>VT209A</t>
  </si>
  <si>
    <t>Dangle Bird pink</t>
  </si>
  <si>
    <t>Frozen 4</t>
  </si>
  <si>
    <t>VT428</t>
  </si>
  <si>
    <t>Elsa - Frozen 3 edition</t>
  </si>
  <si>
    <t>VT429</t>
  </si>
  <si>
    <t>Anna - Frozen 3 edition</t>
  </si>
  <si>
    <t>VU335</t>
  </si>
  <si>
    <t>Anna - Frozen II edition</t>
  </si>
  <si>
    <t>VU336</t>
  </si>
  <si>
    <t>Olaf</t>
  </si>
  <si>
    <t>VU337</t>
  </si>
  <si>
    <t>Elsa - Frozen II edition</t>
  </si>
  <si>
    <t>VU338</t>
  </si>
  <si>
    <t>Bruni</t>
  </si>
  <si>
    <t>VU339</t>
  </si>
  <si>
    <t>Kristoff</t>
  </si>
  <si>
    <t>VU340</t>
  </si>
  <si>
    <t>The Nokk</t>
  </si>
  <si>
    <t>Funko Stranger Things</t>
  </si>
  <si>
    <t>VC259</t>
  </si>
  <si>
    <t>Will</t>
  </si>
  <si>
    <t>VC260</t>
  </si>
  <si>
    <t>Will Upside Down</t>
  </si>
  <si>
    <t>VC261</t>
  </si>
  <si>
    <t>Dustin</t>
  </si>
  <si>
    <t>VC262</t>
  </si>
  <si>
    <t>Dustin Upside Down</t>
  </si>
  <si>
    <t>VC263</t>
  </si>
  <si>
    <t>Hopper</t>
  </si>
  <si>
    <t>VC264</t>
  </si>
  <si>
    <t>Hopper Upside Down</t>
  </si>
  <si>
    <t>VC265</t>
  </si>
  <si>
    <t>Max</t>
  </si>
  <si>
    <t>VC266</t>
  </si>
  <si>
    <t>Max Upside Down</t>
  </si>
  <si>
    <t>VC267</t>
  </si>
  <si>
    <t>Steve</t>
  </si>
  <si>
    <t>VC268</t>
  </si>
  <si>
    <t>Steve Upside Down</t>
  </si>
  <si>
    <t>VC269</t>
  </si>
  <si>
    <t>Eleven</t>
  </si>
  <si>
    <t>VC271</t>
  </si>
  <si>
    <t>Demo Gorgon</t>
  </si>
  <si>
    <t>VC273</t>
  </si>
  <si>
    <t>Lucas</t>
  </si>
  <si>
    <t>VC274</t>
  </si>
  <si>
    <t>Mike</t>
  </si>
  <si>
    <t>VC275</t>
  </si>
  <si>
    <t>Demo Gorgon paperclip</t>
  </si>
  <si>
    <t>VC276</t>
  </si>
  <si>
    <t>Eleven smartphone holder</t>
  </si>
  <si>
    <t>VC277</t>
  </si>
  <si>
    <t>Vecna smartphone holder</t>
  </si>
  <si>
    <t>VC283</t>
  </si>
  <si>
    <t>Nancy cable deco</t>
  </si>
  <si>
    <t>VC284</t>
  </si>
  <si>
    <t>Eddie Upside Down cable deco</t>
  </si>
  <si>
    <t>VC285</t>
  </si>
  <si>
    <t>Erica cable deco</t>
  </si>
  <si>
    <t>VC286</t>
  </si>
  <si>
    <t>Steven e Robin pen deco</t>
  </si>
  <si>
    <t>VC287</t>
  </si>
  <si>
    <t>Demo Gorgon pen deco</t>
  </si>
  <si>
    <t>VC288</t>
  </si>
  <si>
    <t>Robin Upside Down cable deco</t>
  </si>
  <si>
    <t>VC356</t>
  </si>
  <si>
    <t>Eleven paperclip</t>
  </si>
  <si>
    <t>Gabby's Dollhouse</t>
  </si>
  <si>
    <t>VC338</t>
  </si>
  <si>
    <t>Cakey Cat</t>
  </si>
  <si>
    <t>VC339</t>
  </si>
  <si>
    <t>Gabby</t>
  </si>
  <si>
    <t>VC340</t>
  </si>
  <si>
    <t>Kitty Fairy</t>
  </si>
  <si>
    <t>VC341</t>
  </si>
  <si>
    <t>MerCat</t>
  </si>
  <si>
    <t>VC342</t>
  </si>
  <si>
    <t>Pandy Paws</t>
  </si>
  <si>
    <t>VC343</t>
  </si>
  <si>
    <t>Baby Box</t>
  </si>
  <si>
    <t>Hard Work to painting</t>
  </si>
  <si>
    <t>VC047</t>
  </si>
  <si>
    <t>Koala</t>
  </si>
  <si>
    <t>VC049</t>
  </si>
  <si>
    <t>Mouse</t>
  </si>
  <si>
    <t>Hidden Pictures refresh</t>
  </si>
  <si>
    <t>VT102A</t>
  </si>
  <si>
    <t>Mouse X-ray</t>
  </si>
  <si>
    <t>I Like Fish</t>
  </si>
  <si>
    <t>VC061</t>
  </si>
  <si>
    <t>Seal</t>
  </si>
  <si>
    <t>VC062</t>
  </si>
  <si>
    <t>Walrus</t>
  </si>
  <si>
    <t>Ice Games</t>
  </si>
  <si>
    <t>VQ071</t>
  </si>
  <si>
    <t>Penguin</t>
  </si>
  <si>
    <t>VQ072</t>
  </si>
  <si>
    <t>Jurassic Natoons</t>
  </si>
  <si>
    <t>VC097</t>
  </si>
  <si>
    <t>Stegosaurus</t>
  </si>
  <si>
    <t>VC098</t>
  </si>
  <si>
    <t>Synocerotops</t>
  </si>
  <si>
    <t>VC099</t>
  </si>
  <si>
    <t>Triceratops</t>
  </si>
  <si>
    <t>VC100</t>
  </si>
  <si>
    <t>Ankylosaurus</t>
  </si>
  <si>
    <t>VC101</t>
  </si>
  <si>
    <t>Pteranodon</t>
  </si>
  <si>
    <t>VC102</t>
  </si>
  <si>
    <t>Spinosaurus</t>
  </si>
  <si>
    <t>VC103</t>
  </si>
  <si>
    <t>Parasaurolophus</t>
  </si>
  <si>
    <t>VC108</t>
  </si>
  <si>
    <t>Diplodocus</t>
  </si>
  <si>
    <t>VC109</t>
  </si>
  <si>
    <t>Velociraptor</t>
  </si>
  <si>
    <t>VC110</t>
  </si>
  <si>
    <t>Brachiosaurus</t>
  </si>
  <si>
    <t>VC111</t>
  </si>
  <si>
    <t>Dilophosaurus</t>
  </si>
  <si>
    <t>VC112</t>
  </si>
  <si>
    <t>Gigonerosaurus</t>
  </si>
  <si>
    <t>VC113</t>
  </si>
  <si>
    <t>Lambeosaurus</t>
  </si>
  <si>
    <t>VC114</t>
  </si>
  <si>
    <t>Pachiccephalosaurus</t>
  </si>
  <si>
    <t>VC122</t>
  </si>
  <si>
    <t>Tyrannosaurus Rex</t>
  </si>
  <si>
    <t>VC123</t>
  </si>
  <si>
    <t>Plesiosaurus</t>
  </si>
  <si>
    <t>Key Guard</t>
  </si>
  <si>
    <t>VC054</t>
  </si>
  <si>
    <t>VC056</t>
  </si>
  <si>
    <t>Monkey</t>
  </si>
  <si>
    <t>Look in my Eyes</t>
  </si>
  <si>
    <t>VC029A</t>
  </si>
  <si>
    <t>Purple eyes</t>
  </si>
  <si>
    <t>VC029</t>
  </si>
  <si>
    <t>Green eyes</t>
  </si>
  <si>
    <t>Minecraft</t>
  </si>
  <si>
    <t>VC307</t>
  </si>
  <si>
    <t>Alex</t>
  </si>
  <si>
    <t>VC308</t>
  </si>
  <si>
    <t>VC309</t>
  </si>
  <si>
    <t>Creeper</t>
  </si>
  <si>
    <t>VC309A</t>
  </si>
  <si>
    <t>Charged Creeper</t>
  </si>
  <si>
    <t>VC310</t>
  </si>
  <si>
    <t>Zombie</t>
  </si>
  <si>
    <t>VC311</t>
  </si>
  <si>
    <t>Enderman</t>
  </si>
  <si>
    <t>VC312</t>
  </si>
  <si>
    <t>Alex in golden armour</t>
  </si>
  <si>
    <t>VC314</t>
  </si>
  <si>
    <t>Steve in diamond armour</t>
  </si>
  <si>
    <t>VC315</t>
  </si>
  <si>
    <t>Netherportal Skeleton smartphone holder</t>
  </si>
  <si>
    <t>VC317</t>
  </si>
  <si>
    <t>Alex in golden armour paper clip</t>
  </si>
  <si>
    <t>VC318</t>
  </si>
  <si>
    <t>Steve in diamond armour paper clip</t>
  </si>
  <si>
    <t>VC319</t>
  </si>
  <si>
    <t>Ender Dragon</t>
  </si>
  <si>
    <t>VC320</t>
  </si>
  <si>
    <t>Bat clip</t>
  </si>
  <si>
    <t>VC321</t>
  </si>
  <si>
    <t>Spider clip</t>
  </si>
  <si>
    <t>VC322</t>
  </si>
  <si>
    <t>Ocelet paper clip</t>
  </si>
  <si>
    <t>VC323</t>
  </si>
  <si>
    <t>Magma pen deco</t>
  </si>
  <si>
    <t>VC326</t>
  </si>
  <si>
    <t>Netherportal Wither Skeleton smartphone holder</t>
  </si>
  <si>
    <t>VC327</t>
  </si>
  <si>
    <t>Fox paper clip</t>
  </si>
  <si>
    <t>VC328</t>
  </si>
  <si>
    <t>Breeze fidget</t>
  </si>
  <si>
    <t>VC329</t>
  </si>
  <si>
    <t>Shulker Box fidget</t>
  </si>
  <si>
    <t>VC334</t>
  </si>
  <si>
    <t>Diamond ore</t>
  </si>
  <si>
    <t>VC334A</t>
  </si>
  <si>
    <t>Redstone ore</t>
  </si>
  <si>
    <t>VC335</t>
  </si>
  <si>
    <t>Emerald block</t>
  </si>
  <si>
    <t>VC335A</t>
  </si>
  <si>
    <t>Ice block</t>
  </si>
  <si>
    <t>VC336</t>
  </si>
  <si>
    <t>Grass block</t>
  </si>
  <si>
    <t>VC399</t>
  </si>
  <si>
    <t>Golden block</t>
  </si>
  <si>
    <t>VC400</t>
  </si>
  <si>
    <t>Cat paper clip</t>
  </si>
  <si>
    <t>VC405</t>
  </si>
  <si>
    <t>Skeleton</t>
  </si>
  <si>
    <t>On the Constrution site</t>
  </si>
  <si>
    <t>VC094</t>
  </si>
  <si>
    <t>Shovel excavator</t>
  </si>
  <si>
    <t>VC096</t>
  </si>
  <si>
    <t>Truck</t>
  </si>
  <si>
    <t>Racers</t>
  </si>
  <si>
    <t>VC041</t>
  </si>
  <si>
    <t>Car with gear red</t>
  </si>
  <si>
    <t>VC041A</t>
  </si>
  <si>
    <t>Car with gear blue</t>
  </si>
  <si>
    <t>VC063</t>
  </si>
  <si>
    <t>Quad</t>
  </si>
  <si>
    <t>VC064</t>
  </si>
  <si>
    <t>Cross Car</t>
  </si>
  <si>
    <t>VC066</t>
  </si>
  <si>
    <t>Toy Box blue</t>
  </si>
  <si>
    <t>VC068</t>
  </si>
  <si>
    <t>Toy Box orange</t>
  </si>
  <si>
    <t>VC095</t>
  </si>
  <si>
    <t>Stan the screwmaster</t>
  </si>
  <si>
    <t>VC120</t>
  </si>
  <si>
    <t>Orange Speed</t>
  </si>
  <si>
    <t>VC175</t>
  </si>
  <si>
    <t>Blue Racebike</t>
  </si>
  <si>
    <t>VC176</t>
  </si>
  <si>
    <t>Red Racebike</t>
  </si>
  <si>
    <t>VC178</t>
  </si>
  <si>
    <t>Purple spinning car</t>
  </si>
  <si>
    <t>VC181</t>
  </si>
  <si>
    <t>Hot road red</t>
  </si>
  <si>
    <t>VC182</t>
  </si>
  <si>
    <t>Hot road orange</t>
  </si>
  <si>
    <t>VC196</t>
  </si>
  <si>
    <t>Michael</t>
  </si>
  <si>
    <t>VC248</t>
  </si>
  <si>
    <t>Blue Monster</t>
  </si>
  <si>
    <t>VC249</t>
  </si>
  <si>
    <t>Green Destroyer</t>
  </si>
  <si>
    <t>VQ069A</t>
  </si>
  <si>
    <t>Green Mileseater</t>
  </si>
  <si>
    <t>VQ070A</t>
  </si>
  <si>
    <t>Red Roadmaster</t>
  </si>
  <si>
    <t>VQ209A</t>
  </si>
  <si>
    <t>Le Mans Blue Flash</t>
  </si>
  <si>
    <t>VQ210A</t>
  </si>
  <si>
    <t>Le Mans Black Star</t>
  </si>
  <si>
    <t>VC121</t>
  </si>
  <si>
    <t>Golden Winner</t>
  </si>
  <si>
    <t>VC140</t>
  </si>
  <si>
    <t>Michael the mechanic</t>
  </si>
  <si>
    <t>VC174</t>
  </si>
  <si>
    <t>Niki</t>
  </si>
  <si>
    <t>VC177</t>
  </si>
  <si>
    <t>Blue spinning car</t>
  </si>
  <si>
    <t>Shake more Hands</t>
  </si>
  <si>
    <t>VC045</t>
  </si>
  <si>
    <t>Octopus</t>
  </si>
  <si>
    <t>VC046</t>
  </si>
  <si>
    <t>Spider</t>
  </si>
  <si>
    <t>Stamp Animals</t>
  </si>
  <si>
    <t>VC060</t>
  </si>
  <si>
    <t>Parrot</t>
  </si>
  <si>
    <t>VC059</t>
  </si>
  <si>
    <t>Star Wars</t>
  </si>
  <si>
    <t>VC365</t>
  </si>
  <si>
    <t>Obi Wan Kenobi</t>
  </si>
  <si>
    <t>VC366</t>
  </si>
  <si>
    <t>Luke Skywalker</t>
  </si>
  <si>
    <t>VC367</t>
  </si>
  <si>
    <t>Chewbacca</t>
  </si>
  <si>
    <t>VC368</t>
  </si>
  <si>
    <t>Stormtrooper</t>
  </si>
  <si>
    <t>VC369</t>
  </si>
  <si>
    <t>Darth Vader</t>
  </si>
  <si>
    <t>VC370</t>
  </si>
  <si>
    <t>Yoda</t>
  </si>
  <si>
    <t>VC371</t>
  </si>
  <si>
    <t>Rey</t>
  </si>
  <si>
    <t>VC372</t>
  </si>
  <si>
    <t>Kylo Ren</t>
  </si>
  <si>
    <t>VC373</t>
  </si>
  <si>
    <t>Boba Fett</t>
  </si>
  <si>
    <t>VC374</t>
  </si>
  <si>
    <t>Leia Organa</t>
  </si>
  <si>
    <t>Sticky Animals</t>
  </si>
  <si>
    <t>VQ203</t>
  </si>
  <si>
    <t>Octopus green and yellow</t>
  </si>
  <si>
    <t>VQ204</t>
  </si>
  <si>
    <t>Octopus blue and orange</t>
  </si>
  <si>
    <t>Sunlovers</t>
  </si>
  <si>
    <t>VC075</t>
  </si>
  <si>
    <t>VC074</t>
  </si>
  <si>
    <t>Duck</t>
  </si>
  <si>
    <t>Surreal</t>
  </si>
  <si>
    <t>VC072</t>
  </si>
  <si>
    <t>Blue dragon</t>
  </si>
  <si>
    <t>VC079</t>
  </si>
  <si>
    <t>Red dragon</t>
  </si>
  <si>
    <t>Track Vehicle</t>
  </si>
  <si>
    <t>VC116</t>
  </si>
  <si>
    <t>Blue Car</t>
  </si>
  <si>
    <t>VC179</t>
  </si>
  <si>
    <t>Yellow Car</t>
  </si>
  <si>
    <t>Transporters</t>
  </si>
  <si>
    <t>VC038</t>
  </si>
  <si>
    <t>Transporter 1</t>
  </si>
  <si>
    <t>VC087</t>
  </si>
  <si>
    <t>Transporter 2</t>
  </si>
  <si>
    <t>Turn me up</t>
  </si>
  <si>
    <t>VC224</t>
  </si>
  <si>
    <t>Yellow Flower</t>
  </si>
  <si>
    <t>VC224A</t>
  </si>
  <si>
    <t>Blue Flower</t>
  </si>
  <si>
    <t>Underwater Games</t>
  </si>
  <si>
    <t>VC035</t>
  </si>
  <si>
    <t>Orca</t>
  </si>
  <si>
    <t>VC035A</t>
  </si>
  <si>
    <t>Shark</t>
  </si>
  <si>
    <t>Unicorns</t>
  </si>
  <si>
    <t>VC005</t>
  </si>
  <si>
    <t>Magnolia</t>
  </si>
  <si>
    <t>VC005A</t>
  </si>
  <si>
    <t>Petunia</t>
  </si>
  <si>
    <t>VC005B</t>
  </si>
  <si>
    <t>Vanilla</t>
  </si>
  <si>
    <t>VC005C</t>
  </si>
  <si>
    <t>Clementine</t>
  </si>
  <si>
    <t>VC080</t>
  </si>
  <si>
    <t>Earring Sleepy</t>
  </si>
  <si>
    <t>VC080B</t>
  </si>
  <si>
    <t>Earring Dream</t>
  </si>
  <si>
    <t>VC082</t>
  </si>
  <si>
    <t>Ring pink</t>
  </si>
  <si>
    <t>VC104</t>
  </si>
  <si>
    <t>Bracelet zephyr red</t>
  </si>
  <si>
    <t>VC104A</t>
  </si>
  <si>
    <t>Bracelet zephyr blue</t>
  </si>
  <si>
    <t>VC106</t>
  </si>
  <si>
    <t>Silvia</t>
  </si>
  <si>
    <t>VC118</t>
  </si>
  <si>
    <t>Maya</t>
  </si>
  <si>
    <t>VC119</t>
  </si>
  <si>
    <t>Bracialet/pin sparkle</t>
  </si>
  <si>
    <t>VC119A</t>
  </si>
  <si>
    <t>Bracialet/pin cloud</t>
  </si>
  <si>
    <t>VC124</t>
  </si>
  <si>
    <t>Ring purple</t>
  </si>
  <si>
    <t>VC125</t>
  </si>
  <si>
    <t>Justine</t>
  </si>
  <si>
    <t>VC126</t>
  </si>
  <si>
    <t>Camille</t>
  </si>
  <si>
    <t>VC137</t>
  </si>
  <si>
    <t>Lana</t>
  </si>
  <si>
    <t>VC157</t>
  </si>
  <si>
    <t>Unicorn Earring pink</t>
  </si>
  <si>
    <t>VC157A</t>
  </si>
  <si>
    <t>Unicorn Earring purple</t>
  </si>
  <si>
    <t>VC158</t>
  </si>
  <si>
    <t>Flower-Ring purple</t>
  </si>
  <si>
    <t>VC159</t>
  </si>
  <si>
    <t>Flower-Ring lightblue</t>
  </si>
  <si>
    <t>VC164</t>
  </si>
  <si>
    <t>Hair Clip yellow Star</t>
  </si>
  <si>
    <t>VC165</t>
  </si>
  <si>
    <t>Hair Clip purple Heart</t>
  </si>
  <si>
    <t>VC193</t>
  </si>
  <si>
    <t>Poppy</t>
  </si>
  <si>
    <t>VC193A</t>
  </si>
  <si>
    <t>Bubbles</t>
  </si>
  <si>
    <t>VC194</t>
  </si>
  <si>
    <t>Aurelia</t>
  </si>
  <si>
    <t>VC194A</t>
  </si>
  <si>
    <t>Estelle</t>
  </si>
  <si>
    <t>VC195</t>
  </si>
  <si>
    <t>Mirabelle</t>
  </si>
  <si>
    <t>VC195A</t>
  </si>
  <si>
    <t>Ambrosia</t>
  </si>
  <si>
    <t>VC199</t>
  </si>
  <si>
    <t>Lauren</t>
  </si>
  <si>
    <t>VC200</t>
  </si>
  <si>
    <t>Lisa</t>
  </si>
  <si>
    <t>VC201</t>
  </si>
  <si>
    <t>Matilde</t>
  </si>
  <si>
    <t>VC406</t>
  </si>
  <si>
    <t>Color changing bracialet white to blue</t>
  </si>
  <si>
    <t>VC406A</t>
  </si>
  <si>
    <t>Color changing bracialet white to pink</t>
  </si>
  <si>
    <t>VQ029</t>
  </si>
  <si>
    <t>Miranda ring</t>
  </si>
  <si>
    <t>VQ029A</t>
  </si>
  <si>
    <t>Simone ring</t>
  </si>
  <si>
    <t>Zipper Friends</t>
  </si>
  <si>
    <t>VC050</t>
  </si>
  <si>
    <t>VC051</t>
  </si>
  <si>
    <t>Beaver</t>
  </si>
  <si>
    <t>2024/2025</t>
  </si>
  <si>
    <t>Abitanti degli oceani</t>
  </si>
  <si>
    <t>VQ178</t>
  </si>
  <si>
    <t>Balena affamata</t>
  </si>
  <si>
    <t>VQ179</t>
  </si>
  <si>
    <t>Squalo affamato</t>
  </si>
  <si>
    <t>Amiche degli animali</t>
  </si>
  <si>
    <t>VQ022</t>
  </si>
  <si>
    <t>Nurse Klara</t>
  </si>
  <si>
    <t>VQ023</t>
  </si>
  <si>
    <t>Nurse Sara</t>
  </si>
  <si>
    <t>Anelli scrigno</t>
  </si>
  <si>
    <t>VT040A</t>
  </si>
  <si>
    <t>Anello fiore</t>
  </si>
  <si>
    <t>VT041A</t>
  </si>
  <si>
    <t>Anello farfalla</t>
  </si>
  <si>
    <t>Animali dal veterinario</t>
  </si>
  <si>
    <t>VQ007</t>
  </si>
  <si>
    <t>VQ008</t>
  </si>
  <si>
    <t>Scimmia</t>
  </si>
  <si>
    <t>Animali pastello</t>
  </si>
  <si>
    <t>VQ043</t>
  </si>
  <si>
    <t>Lumaca</t>
  </si>
  <si>
    <t>VQ044</t>
  </si>
  <si>
    <t>Pinguino</t>
  </si>
  <si>
    <t>Animali saltatori</t>
  </si>
  <si>
    <t>VQ005</t>
  </si>
  <si>
    <t>Rana</t>
  </si>
  <si>
    <t>VQ006</t>
  </si>
  <si>
    <t>Lepre</t>
  </si>
  <si>
    <t>Animali stampini</t>
  </si>
  <si>
    <t>VQ035</t>
  </si>
  <si>
    <t>Stampino orso</t>
  </si>
  <si>
    <t>VQ036</t>
  </si>
  <si>
    <t>Stampino gorilla</t>
  </si>
  <si>
    <t>Auto con elastico</t>
  </si>
  <si>
    <t>VQ055</t>
  </si>
  <si>
    <t>Auto gialla</t>
  </si>
  <si>
    <t>VQ056</t>
  </si>
  <si>
    <t>Auto blu</t>
  </si>
  <si>
    <t>Auto spia</t>
  </si>
  <si>
    <t>VQ053</t>
  </si>
  <si>
    <t>Auto spia 1</t>
  </si>
  <si>
    <t>VQ054</t>
  </si>
  <si>
    <t>Auto spia 2</t>
  </si>
  <si>
    <t>Barbie</t>
  </si>
  <si>
    <t>EN399B</t>
  </si>
  <si>
    <t>Barbie regista</t>
  </si>
  <si>
    <t>VD401</t>
  </si>
  <si>
    <t>Barbie veterinaria</t>
  </si>
  <si>
    <t>VD402</t>
  </si>
  <si>
    <t>Barbie ballerina</t>
  </si>
  <si>
    <t>VD403</t>
  </si>
  <si>
    <t>Barbie scienziata</t>
  </si>
  <si>
    <t>VD404</t>
  </si>
  <si>
    <t>Barbie pilota</t>
  </si>
  <si>
    <t>VD405</t>
  </si>
  <si>
    <t>Barbie operaia</t>
  </si>
  <si>
    <t>VD406</t>
  </si>
  <si>
    <t>Barbie pompiere</t>
  </si>
  <si>
    <t>VD415</t>
  </si>
  <si>
    <t>Barbie astronauta</t>
  </si>
  <si>
    <t>Bracciali di stoffa</t>
  </si>
  <si>
    <t>VQ251</t>
  </si>
  <si>
    <t>Bracciale gatto</t>
  </si>
  <si>
    <t>VQ251B</t>
  </si>
  <si>
    <t>Bracciale panda</t>
  </si>
  <si>
    <t>Bracelets</t>
  </si>
  <si>
    <t>VQ092</t>
  </si>
  <si>
    <t>Kitty Bracelet</t>
  </si>
  <si>
    <t>VQ093</t>
  </si>
  <si>
    <t>Paw bracelet</t>
  </si>
  <si>
    <t>Breaker</t>
  </si>
  <si>
    <t>VQ051</t>
  </si>
  <si>
    <t>Drill</t>
  </si>
  <si>
    <t>VQ052</t>
  </si>
  <si>
    <t>Wrecking Ball</t>
  </si>
  <si>
    <t>Car to Plane</t>
  </si>
  <si>
    <t>VQ012</t>
  </si>
  <si>
    <t>Soldier</t>
  </si>
  <si>
    <t>VQ012A</t>
  </si>
  <si>
    <t>Fire wings</t>
  </si>
  <si>
    <t>Caravans</t>
  </si>
  <si>
    <t>VQ103</t>
  </si>
  <si>
    <t>Van verde acqua</t>
  </si>
  <si>
    <t>VQ103A</t>
  </si>
  <si>
    <t>Van rosa</t>
  </si>
  <si>
    <t>Carrelli elevatori</t>
  </si>
  <si>
    <t>VQ059</t>
  </si>
  <si>
    <t>Carrello giallo</t>
  </si>
  <si>
    <t>VQ059A</t>
  </si>
  <si>
    <t>Carrello verde</t>
  </si>
  <si>
    <t>Chinese Moving Dragons</t>
  </si>
  <si>
    <t>VQ111</t>
  </si>
  <si>
    <t>Drago oro</t>
  </si>
  <si>
    <t>VQ111B</t>
  </si>
  <si>
    <t>Drago rosso</t>
  </si>
  <si>
    <t>Christmas 2024</t>
  </si>
  <si>
    <t>VQ252</t>
  </si>
  <si>
    <t>Gingerbread</t>
  </si>
  <si>
    <t>VQ253</t>
  </si>
  <si>
    <t>Renna</t>
  </si>
  <si>
    <t>VQ254</t>
  </si>
  <si>
    <t>Babbo Natale slitta</t>
  </si>
  <si>
    <t>VQ255</t>
  </si>
  <si>
    <t>Civetta</t>
  </si>
  <si>
    <t>VQ256</t>
  </si>
  <si>
    <t>Elfo verde</t>
  </si>
  <si>
    <t>VQ257</t>
  </si>
  <si>
    <t>Elfo rosso</t>
  </si>
  <si>
    <t>VQ258</t>
  </si>
  <si>
    <t>Pupazzo di neve</t>
  </si>
  <si>
    <t>VQ259</t>
  </si>
  <si>
    <t>Orso</t>
  </si>
  <si>
    <t>VQ260</t>
  </si>
  <si>
    <t>Renna sci</t>
  </si>
  <si>
    <t>VQ261</t>
  </si>
  <si>
    <t>Babbo Natale snowboard</t>
  </si>
  <si>
    <t>VQ262</t>
  </si>
  <si>
    <t>Pinguino slittino</t>
  </si>
  <si>
    <t>VQ263</t>
  </si>
  <si>
    <t>Scoiattolo slittino</t>
  </si>
  <si>
    <t>Coccinelle</t>
  </si>
  <si>
    <t>VQ266</t>
  </si>
  <si>
    <t>Coccinella rossa</t>
  </si>
  <si>
    <t>VQ266A</t>
  </si>
  <si>
    <t>Coccinella gialla</t>
  </si>
  <si>
    <t>Crown Spinner - riedizione</t>
  </si>
  <si>
    <t>VU050D</t>
  </si>
  <si>
    <t>Trottola gialla</t>
  </si>
  <si>
    <t>VU050E</t>
  </si>
  <si>
    <t>Trottola azzurra</t>
  </si>
  <si>
    <t>Disney Princesses: I Love</t>
  </si>
  <si>
    <t>VQ332</t>
  </si>
  <si>
    <t>Tiana</t>
  </si>
  <si>
    <t>VQ333</t>
  </si>
  <si>
    <t>Rapunzel</t>
  </si>
  <si>
    <t>VQ335</t>
  </si>
  <si>
    <t>Raya</t>
  </si>
  <si>
    <t>VQ336</t>
  </si>
  <si>
    <t>Jasmine</t>
  </si>
  <si>
    <t>VQ337</t>
  </si>
  <si>
    <t>Belle</t>
  </si>
  <si>
    <t>VQ338</t>
  </si>
  <si>
    <t>Merida</t>
  </si>
  <si>
    <t>VQ339</t>
  </si>
  <si>
    <t>Vaiana</t>
  </si>
  <si>
    <t>VQ340</t>
  </si>
  <si>
    <t>Cenerentola</t>
  </si>
  <si>
    <t>Dragon stickers</t>
  </si>
  <si>
    <t>VQ294</t>
  </si>
  <si>
    <t>Dragon sticker rosso</t>
  </si>
  <si>
    <t>VQ295</t>
  </si>
  <si>
    <t>Dragon sticker oro</t>
  </si>
  <si>
    <t>Dragon Wings Action Figure</t>
  </si>
  <si>
    <t>VT151B</t>
  </si>
  <si>
    <t>Action figure bionda</t>
  </si>
  <si>
    <t>VT151C</t>
  </si>
  <si>
    <t>Action figure mora</t>
  </si>
  <si>
    <t>Dragons Fire and Ice</t>
  </si>
  <si>
    <t>VQ014</t>
  </si>
  <si>
    <t>Ice Dragon</t>
  </si>
  <si>
    <t>VQ013</t>
  </si>
  <si>
    <t>Fire Dragon</t>
  </si>
  <si>
    <t>Dragons in crystal</t>
  </si>
  <si>
    <t>VQ076</t>
  </si>
  <si>
    <t>VQ076A</t>
  </si>
  <si>
    <t>Red Dragon</t>
  </si>
  <si>
    <t>Eating Time Animals</t>
  </si>
  <si>
    <t>VQ113</t>
  </si>
  <si>
    <t>VQ114</t>
  </si>
  <si>
    <t>Engine cars</t>
  </si>
  <si>
    <t>VQ057</t>
  </si>
  <si>
    <t>Auto viola</t>
  </si>
  <si>
    <t>VQ058</t>
  </si>
  <si>
    <t>Auto verde</t>
  </si>
  <si>
    <t>Fairy houses</t>
  </si>
  <si>
    <t>VT048B</t>
  </si>
  <si>
    <t>Casa tetto blu</t>
  </si>
  <si>
    <t>VT048C</t>
  </si>
  <si>
    <t>Casa tetto rosa</t>
  </si>
  <si>
    <t>Feeding Friends</t>
  </si>
  <si>
    <t>VT080</t>
  </si>
  <si>
    <t>Ippopotamo</t>
  </si>
  <si>
    <t>VT081</t>
  </si>
  <si>
    <t>Tartaruga</t>
  </si>
  <si>
    <t>VQ082</t>
  </si>
  <si>
    <t>Orso polare</t>
  </si>
  <si>
    <t>VQ083</t>
  </si>
  <si>
    <t>VQ079</t>
  </si>
  <si>
    <t>Rinoceronte</t>
  </si>
  <si>
    <t>VQ081</t>
  </si>
  <si>
    <t>Zebra</t>
  </si>
  <si>
    <t xml:space="preserve">VQ084 </t>
  </si>
  <si>
    <t>Coniglio</t>
  </si>
  <si>
    <t xml:space="preserve">VQ085 </t>
  </si>
  <si>
    <t>Gatto</t>
  </si>
  <si>
    <t>Feeding Time Animals</t>
  </si>
  <si>
    <t xml:space="preserve">VQ024 </t>
  </si>
  <si>
    <t>Feeding Cygnets</t>
  </si>
  <si>
    <t xml:space="preserve">VQ025 </t>
  </si>
  <si>
    <t>Feeding Turtles</t>
  </si>
  <si>
    <t>Finger Dragons</t>
  </si>
  <si>
    <t>VQ094</t>
  </si>
  <si>
    <t>Drago ali rosse</t>
  </si>
  <si>
    <t>VQ095</t>
  </si>
  <si>
    <t>Drago ali oro</t>
  </si>
  <si>
    <t>Funko Pop - Jurassic World</t>
  </si>
  <si>
    <t>VQ284</t>
  </si>
  <si>
    <t>Parasaurus</t>
  </si>
  <si>
    <t>VQ285</t>
  </si>
  <si>
    <t>Gigantosaurus</t>
  </si>
  <si>
    <t>VQ286</t>
  </si>
  <si>
    <t>VQ287</t>
  </si>
  <si>
    <t>VQ288</t>
  </si>
  <si>
    <t>Pterodactylus (pen deco)</t>
  </si>
  <si>
    <t>VQ289</t>
  </si>
  <si>
    <t>Velociraptor (pen deco)</t>
  </si>
  <si>
    <t>VQ290</t>
  </si>
  <si>
    <t>Pachycephalosaurus (pen deco)</t>
  </si>
  <si>
    <t>VQ291</t>
  </si>
  <si>
    <t>Brachiosaurus (supporto smartphone)</t>
  </si>
  <si>
    <t>VQ292</t>
  </si>
  <si>
    <t>Indominus</t>
  </si>
  <si>
    <t>VQ293</t>
  </si>
  <si>
    <t>Allosaurus (supporto smartphone)</t>
  </si>
  <si>
    <t>VQ302</t>
  </si>
  <si>
    <t>Plateosaurus (supporto smartphone)</t>
  </si>
  <si>
    <t>VQ314</t>
  </si>
  <si>
    <t>T-Rex</t>
  </si>
  <si>
    <t>VQ315</t>
  </si>
  <si>
    <t>Mosasaurus (porta cavo)</t>
  </si>
  <si>
    <t>VQ316</t>
  </si>
  <si>
    <t>VQ317</t>
  </si>
  <si>
    <t>Pterodactylus (cable deco)</t>
  </si>
  <si>
    <t>VQ318</t>
  </si>
  <si>
    <t>Pyroraptor (cable deco)</t>
  </si>
  <si>
    <t>VQ319</t>
  </si>
  <si>
    <t>Scorpios Rex (porta cavo)</t>
  </si>
  <si>
    <t>VQ320</t>
  </si>
  <si>
    <t>Acrocanthosaurus (porta cavo)</t>
  </si>
  <si>
    <t>VQ321</t>
  </si>
  <si>
    <t>VQ322</t>
  </si>
  <si>
    <t>T-Rex skeleton</t>
  </si>
  <si>
    <t>VQ323</t>
  </si>
  <si>
    <t>Indoraptor</t>
  </si>
  <si>
    <t>VQ324</t>
  </si>
  <si>
    <t>Stygimoloch</t>
  </si>
  <si>
    <t>VQ325</t>
  </si>
  <si>
    <t>VQ326</t>
  </si>
  <si>
    <t>Chasmosaurus (porta cavo)</t>
  </si>
  <si>
    <t>Holding Dragons</t>
  </si>
  <si>
    <t>VQ187</t>
  </si>
  <si>
    <t>Iacopo</t>
  </si>
  <si>
    <t>VQ188</t>
  </si>
  <si>
    <t>Mark</t>
  </si>
  <si>
    <t>Magic Animal Trick</t>
  </si>
  <si>
    <t>VQ182</t>
  </si>
  <si>
    <t>VQ183</t>
  </si>
  <si>
    <t>Magic Dragons</t>
  </si>
  <si>
    <t>VQ099</t>
  </si>
  <si>
    <t>VQ100</t>
  </si>
  <si>
    <t>Marvel</t>
  </si>
  <si>
    <t>VQ356</t>
  </si>
  <si>
    <t>Iron Man</t>
  </si>
  <si>
    <t>VQ357</t>
  </si>
  <si>
    <t>Capitan America (Sam)</t>
  </si>
  <si>
    <t>VQ363</t>
  </si>
  <si>
    <t>Spiderman</t>
  </si>
  <si>
    <t>VQ364</t>
  </si>
  <si>
    <t>Antman</t>
  </si>
  <si>
    <t>VQ365</t>
  </si>
  <si>
    <t>Black Panther</t>
  </si>
  <si>
    <t>VQ366</t>
  </si>
  <si>
    <t>Doctor Strange</t>
  </si>
  <si>
    <t>VQ368</t>
  </si>
  <si>
    <t>Hulk</t>
  </si>
  <si>
    <t>VQ379</t>
  </si>
  <si>
    <t>Spider-woman (Spider Ghost)</t>
  </si>
  <si>
    <t>Minidragon</t>
  </si>
  <si>
    <t>VQ088</t>
  </si>
  <si>
    <t>Mini Enrico</t>
  </si>
  <si>
    <t>VQ089</t>
  </si>
  <si>
    <t>Mini Giordano</t>
  </si>
  <si>
    <t>Monster truck</t>
  </si>
  <si>
    <t>VQ063</t>
  </si>
  <si>
    <t>Truck giallo-rosso</t>
  </si>
  <si>
    <t>VQ064</t>
  </si>
  <si>
    <t>Truck grigio-viola</t>
  </si>
  <si>
    <t>Moving Dragons</t>
  </si>
  <si>
    <t>VQ106</t>
  </si>
  <si>
    <t>VQ107</t>
  </si>
  <si>
    <t>Natoons Cubs 24/25</t>
  </si>
  <si>
    <t>VQ117</t>
  </si>
  <si>
    <t>Cucciolo di struzzo</t>
  </si>
  <si>
    <t>VQ118</t>
  </si>
  <si>
    <t>Cucciolo di puzzola</t>
  </si>
  <si>
    <t>VQ119</t>
  </si>
  <si>
    <t>Cucciolo di lepre</t>
  </si>
  <si>
    <t>VQ120</t>
  </si>
  <si>
    <t>Cucciolo di leone</t>
  </si>
  <si>
    <t>VQ121</t>
  </si>
  <si>
    <t>Cucciolo di pinguino</t>
  </si>
  <si>
    <t>VQ123</t>
  </si>
  <si>
    <t>Cucciolo di coccodrillo</t>
  </si>
  <si>
    <t>VQ124</t>
  </si>
  <si>
    <t>Cucciolo di tartaruga marina</t>
  </si>
  <si>
    <t>VQ125</t>
  </si>
  <si>
    <t>Cucciolo di cervo</t>
  </si>
  <si>
    <t>VQ127</t>
  </si>
  <si>
    <t>Cucciolo di suricato</t>
  </si>
  <si>
    <t>VQ128</t>
  </si>
  <si>
    <t>Cucciolo di cigno</t>
  </si>
  <si>
    <t>VQ129</t>
  </si>
  <si>
    <t>Cucciolo di scoiattolo</t>
  </si>
  <si>
    <t>VQ130</t>
  </si>
  <si>
    <t>Cucciolo di tapiro</t>
  </si>
  <si>
    <t>VQ131</t>
  </si>
  <si>
    <t>Cucciolo di orso polare</t>
  </si>
  <si>
    <t>VQ172</t>
  </si>
  <si>
    <t>Cucciolo di elefante</t>
  </si>
  <si>
    <t>VQ174</t>
  </si>
  <si>
    <t>Cucciolo di ippopotamo</t>
  </si>
  <si>
    <t>VQ175</t>
  </si>
  <si>
    <t>Cucciolo di koala</t>
  </si>
  <si>
    <t>Nurses with Pets</t>
  </si>
  <si>
    <t>VQ018</t>
  </si>
  <si>
    <t>Infermiera con pantera</t>
  </si>
  <si>
    <t>VQ019</t>
  </si>
  <si>
    <t>Infermiera con tartaruga</t>
  </si>
  <si>
    <t>Orecchini</t>
  </si>
  <si>
    <t>VQ078</t>
  </si>
  <si>
    <t>Orecchini arancioni</t>
  </si>
  <si>
    <t>VQ078B</t>
  </si>
  <si>
    <t>Orecchini viola</t>
  </si>
  <si>
    <t>Pasqua 2025</t>
  </si>
  <si>
    <t>VQ278</t>
  </si>
  <si>
    <t>Coniglio picnic</t>
  </si>
  <si>
    <t>VQ279</t>
  </si>
  <si>
    <t>Pecora picnic</t>
  </si>
  <si>
    <t>VQ281</t>
  </si>
  <si>
    <t>Gufo picnic</t>
  </si>
  <si>
    <t>VQ282</t>
  </si>
  <si>
    <t>Volpe picnic</t>
  </si>
  <si>
    <t>VQ283</t>
  </si>
  <si>
    <t>Trottola farfalla</t>
  </si>
  <si>
    <t>VQ297</t>
  </si>
  <si>
    <t>Coccinella sparadischi</t>
  </si>
  <si>
    <t>VQ298</t>
  </si>
  <si>
    <t>Coniglio sparadischi</t>
  </si>
  <si>
    <t>VQ299</t>
  </si>
  <si>
    <t>Riccio sparadischi</t>
  </si>
  <si>
    <t>VQ300</t>
  </si>
  <si>
    <t>Trottola uccello verde</t>
  </si>
  <si>
    <t>VQ301</t>
  </si>
  <si>
    <t>Trottola uccello rosso</t>
  </si>
  <si>
    <t>VT342</t>
  </si>
  <si>
    <t>Trottola rana</t>
  </si>
  <si>
    <t>VT347</t>
  </si>
  <si>
    <t>Gallo sparadischi</t>
  </si>
  <si>
    <t>Paw Patrol 2024</t>
  </si>
  <si>
    <t>VD348</t>
  </si>
  <si>
    <t>Rocky</t>
  </si>
  <si>
    <t>VD349</t>
  </si>
  <si>
    <t>Rubble</t>
  </si>
  <si>
    <t>VD354</t>
  </si>
  <si>
    <t>Skye</t>
  </si>
  <si>
    <t>VD355</t>
  </si>
  <si>
    <t>Zuma</t>
  </si>
  <si>
    <t>VD358</t>
  </si>
  <si>
    <t>Everest</t>
  </si>
  <si>
    <t>VD361</t>
  </si>
  <si>
    <t>Chase</t>
  </si>
  <si>
    <t>VD362</t>
  </si>
  <si>
    <t>Marshall</t>
  </si>
  <si>
    <t>VQ331</t>
  </si>
  <si>
    <t>Liberty</t>
  </si>
  <si>
    <t>Reveal camera - riedizione</t>
  </si>
  <si>
    <t>VD057B</t>
  </si>
  <si>
    <t>Green camera</t>
  </si>
  <si>
    <t>VD058B</t>
  </si>
  <si>
    <t>White camera</t>
  </si>
  <si>
    <t>Road Chaser Formula</t>
  </si>
  <si>
    <t>VQ209</t>
  </si>
  <si>
    <t>Kimi</t>
  </si>
  <si>
    <t>VQ210</t>
  </si>
  <si>
    <t>Mick</t>
  </si>
  <si>
    <t>School Friends</t>
  </si>
  <si>
    <t>VQ041</t>
  </si>
  <si>
    <t>Tom Frog</t>
  </si>
  <si>
    <t>VQ042</t>
  </si>
  <si>
    <t>Sam Chamaleon</t>
  </si>
  <si>
    <t>Sea Action Game</t>
  </si>
  <si>
    <t>VQ425</t>
  </si>
  <si>
    <t>Pesce blu</t>
  </si>
  <si>
    <t>VQ425A</t>
  </si>
  <si>
    <t>Pesce arancione</t>
  </si>
  <si>
    <t>Shooting Boat - riedizione</t>
  </si>
  <si>
    <t>VT114C</t>
  </si>
  <si>
    <t>Moto Boat verde</t>
  </si>
  <si>
    <t>VT114D</t>
  </si>
  <si>
    <t>Moto Boat rossa</t>
  </si>
  <si>
    <t>Shooting Dragons</t>
  </si>
  <si>
    <t>VQ090</t>
  </si>
  <si>
    <t>VQ091</t>
  </si>
  <si>
    <t>Sick pets</t>
  </si>
  <si>
    <t>VQ189</t>
  </si>
  <si>
    <t>VQ190</t>
  </si>
  <si>
    <t>Elefante</t>
  </si>
  <si>
    <t>Silly Brushes</t>
  </si>
  <si>
    <t>VQ049</t>
  </si>
  <si>
    <t>Gorilla</t>
  </si>
  <si>
    <t>VQ050</t>
  </si>
  <si>
    <t>Pappagallo</t>
  </si>
  <si>
    <t>Stretchy</t>
  </si>
  <si>
    <t>VQ343</t>
  </si>
  <si>
    <t>Hatto</t>
  </si>
  <si>
    <t>VQ343A</t>
  </si>
  <si>
    <t>Hollo</t>
  </si>
  <si>
    <t>Super Mario</t>
  </si>
  <si>
    <t>DV548</t>
  </si>
  <si>
    <t>Mario</t>
  </si>
  <si>
    <t>DV548A</t>
  </si>
  <si>
    <t>Fire Mario</t>
  </si>
  <si>
    <t>DV549</t>
  </si>
  <si>
    <t>Luigi</t>
  </si>
  <si>
    <t>DV549A</t>
  </si>
  <si>
    <t>Fire Luigi</t>
  </si>
  <si>
    <t>DV550</t>
  </si>
  <si>
    <t>Yoshi</t>
  </si>
  <si>
    <t>DV550A</t>
  </si>
  <si>
    <t>Yoshi giallo</t>
  </si>
  <si>
    <t>VQ390</t>
  </si>
  <si>
    <t>Fungo rosso evidenziatore</t>
  </si>
  <si>
    <t>VQ390A</t>
  </si>
  <si>
    <t>Green Mushroom evidenziatore</t>
  </si>
  <si>
    <t>VQ392</t>
  </si>
  <si>
    <t>Mario pen deco</t>
  </si>
  <si>
    <t>VQ393</t>
  </si>
  <si>
    <t>Fungo rosso organizer</t>
  </si>
  <si>
    <t>VQ393A</t>
  </si>
  <si>
    <t>Fungo verde organizer</t>
  </si>
  <si>
    <t>VQ394</t>
  </si>
  <si>
    <t>Boo clip</t>
  </si>
  <si>
    <t>VQ397</t>
  </si>
  <si>
    <t>Goomba</t>
  </si>
  <si>
    <t>VQ399</t>
  </si>
  <si>
    <t>Fire Mario pop-it</t>
  </si>
  <si>
    <t>VQ400</t>
  </si>
  <si>
    <t>Fungo rosso pop-it</t>
  </si>
  <si>
    <t>VQ401</t>
  </si>
  <si>
    <t>Superstar</t>
  </si>
  <si>
    <t>VQ402</t>
  </si>
  <si>
    <t>CheepCheep rosso</t>
  </si>
  <si>
    <t>VQ402A</t>
  </si>
  <si>
    <t>CheepCheep giallo</t>
  </si>
  <si>
    <t>VQ405</t>
  </si>
  <si>
    <t>Browser pop-it</t>
  </si>
  <si>
    <t>VQ406</t>
  </si>
  <si>
    <t>Blooper clip</t>
  </si>
  <si>
    <t>VQ408</t>
  </si>
  <si>
    <t>Fungo verde pop-it</t>
  </si>
  <si>
    <t>VQ412</t>
  </si>
  <si>
    <t>Spiny clip</t>
  </si>
  <si>
    <t>VQ413</t>
  </si>
  <si>
    <t>Piranha paperclip</t>
  </si>
  <si>
    <t>VQ414</t>
  </si>
  <si>
    <t>Luigi pen deco</t>
  </si>
  <si>
    <t>VQ415</t>
  </si>
  <si>
    <t>Peach pen deco</t>
  </si>
  <si>
    <t>VQ416</t>
  </si>
  <si>
    <t>Questionblock tag</t>
  </si>
  <si>
    <t>VQ417</t>
  </si>
  <si>
    <t>Toad paperclip</t>
  </si>
  <si>
    <t>VQ420</t>
  </si>
  <si>
    <t>Yoshi pen deco</t>
  </si>
  <si>
    <t>VQ422</t>
  </si>
  <si>
    <t>Fungo rosso portafoto</t>
  </si>
  <si>
    <t>VQ422A</t>
  </si>
  <si>
    <t>Fungo verde portafoto</t>
  </si>
  <si>
    <t>Throwing Monkeys</t>
  </si>
  <si>
    <t>VQ353</t>
  </si>
  <si>
    <t>Gilly</t>
  </si>
  <si>
    <t>VQ353A</t>
  </si>
  <si>
    <t>Godric</t>
  </si>
  <si>
    <t>Trasportini</t>
  </si>
  <si>
    <t>VQ009</t>
  </si>
  <si>
    <t>Scoiattolo con trasportino</t>
  </si>
  <si>
    <t>VQ010</t>
  </si>
  <si>
    <t>Coniglio con trasportino</t>
  </si>
  <si>
    <t>Trottole animali</t>
  </si>
  <si>
    <t>VQ180</t>
  </si>
  <si>
    <t>Trottola delfini</t>
  </si>
  <si>
    <t>VQ181</t>
  </si>
  <si>
    <t>Trottola fenicotteri</t>
  </si>
  <si>
    <t>Twins rings</t>
  </si>
  <si>
    <t>VQ115</t>
  </si>
  <si>
    <t>Anello gatti</t>
  </si>
  <si>
    <t>VQ116</t>
  </si>
  <si>
    <t>Anello conigli</t>
  </si>
  <si>
    <t>Vet Check</t>
  </si>
  <si>
    <t>VQ020</t>
  </si>
  <si>
    <t>Infermiera con koala</t>
  </si>
  <si>
    <t>VQ021</t>
  </si>
  <si>
    <t>Infermiera con pinguino</t>
  </si>
  <si>
    <t>Vet Secret Message</t>
  </si>
  <si>
    <t>VQ108</t>
  </si>
  <si>
    <t>Star Fish</t>
  </si>
  <si>
    <t>VQ108A</t>
  </si>
  <si>
    <t>Marine</t>
  </si>
  <si>
    <t>Walking robots</t>
  </si>
  <si>
    <t>VD203</t>
  </si>
  <si>
    <t>Robot rosso</t>
  </si>
  <si>
    <t>VD203A</t>
  </si>
  <si>
    <t>Robot giallo</t>
  </si>
  <si>
    <t>Water revealing animals</t>
  </si>
  <si>
    <t>VT021</t>
  </si>
  <si>
    <t>Polipo</t>
  </si>
  <si>
    <t>VT022</t>
  </si>
  <si>
    <t>Wheelie Moto</t>
  </si>
  <si>
    <t>VQ069</t>
  </si>
  <si>
    <t>Moto giallo-rossa</t>
  </si>
  <si>
    <t>VQ070</t>
  </si>
  <si>
    <t>Moto rosso-blu</t>
  </si>
  <si>
    <t>COME USARE QUESTO FILE</t>
  </si>
  <si>
    <t>1. Vai al foglio "Parametri" e modifica le celle GIALLE:</t>
  </si>
  <si>
    <t xml:space="preserve">   • T3 (default 0.82): score minimo per rarità 3 — abbassa per più pezzi a 3</t>
  </si>
  <si>
    <t xml:space="preserve">   • T2 (default 0.68): score minimo per rarità 2 — abbassa per più pezzi a 2</t>
  </si>
  <si>
    <t xml:space="preserve">   • Peso mancanti (default 0.60): importanza dei mancanti nello score</t>
  </si>
  <si>
    <t xml:space="preserve">   • Peso doppi inv. (default 0.40): importanza dei doppi nello score</t>
  </si>
  <si>
    <t>2. Il foglio "Dati" si aggiorna automaticamente con le nuove rarità calcolate.</t>
  </si>
  <si>
    <t>3. Colonne chiave:</t>
  </si>
  <si>
    <t xml:space="preserve">   • Pct mancanti: percentile del pezzo nella serie per mancanti (0=meno, 1=più)</t>
  </si>
  <si>
    <t xml:space="preserve">   • Pct doppi inv.: 1 - percentile per doppi (0=molti doppi, 1=pochi doppi)</t>
  </si>
  <si>
    <t xml:space="preserve">   • Score: combinazione pesata dei due percentili</t>
  </si>
  <si>
    <t xml:space="preserve">   • Rarità calcolata: risultato basato sulle soglie T3/T2</t>
  </si>
  <si>
    <t xml:space="preserve">   • Rarità attuale: valore attuale nel database</t>
  </si>
  <si>
    <t>4. Usa i filtri sulla riga 1 del foglio Dati per filtrare per serie o annata.</t>
  </si>
  <si>
    <t>5. Le righe grigie sono pezzi skippati per dati insufficienti.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</si>
</sst>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FFFFFF"/>
      <sz val="14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3D3D3"/>
      </patternFill>
    </fill>
    <fill>
      <patternFill patternType="solid">
        <fgColor rgb="FFFFFF99"/>
      </patternFill>
    </fill>
    <fill>
      <patternFill patternType="solid">
        <fgColor rgb="FFF5F5F5"/>
      </patternFill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2" fontId="0" fillId="4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/>
    <xf numFmtId="164" fontId="0" fillId="5" borderId="0" xfId="0" applyNumberFormat="1" applyFill="1"/>
    <xf numFmtId="164" fontId="0" fillId="0" borderId="0" xfId="0" applyNumberFormat="1"/>
    <xf numFmtId="0" fontId="0" fillId="6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14" customWidth="1"/>
  </cols>
  <sheetData>
    <row r="1" ht="22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t="s">
        <v>2</v>
      </c>
      <c r="B3" s="3">
        <v>0.82</v>
      </c>
    </row>
    <row r="4" spans="1:2" x14ac:dyDescent="0.25">
      <c r="A4" t="s">
        <v>3</v>
      </c>
      <c r="B4" s="3">
        <v>0.68</v>
      </c>
    </row>
    <row r="5" spans="1:2" x14ac:dyDescent="0.25">
      <c r="A5" s="2" t="s">
        <v>4</v>
      </c>
      <c r="B5" s="2"/>
    </row>
    <row r="6" spans="1:2" x14ac:dyDescent="0.25">
      <c r="A6" t="s">
        <v>5</v>
      </c>
      <c r="B6" s="3">
        <v>0.6</v>
      </c>
    </row>
    <row r="7" spans="1:2" x14ac:dyDescent="0.25">
      <c r="A7" t="s">
        <v>6</v>
      </c>
      <c r="B7" s="3">
        <v>0.4</v>
      </c>
    </row>
    <row r="8" spans="1:2" x14ac:dyDescent="0.25">
      <c r="A8" s="2" t="s">
        <v>7</v>
      </c>
      <c r="B8" s="2"/>
    </row>
    <row r="9" spans="1:2" x14ac:dyDescent="0.25">
      <c r="A9" t="s">
        <v>8</v>
      </c>
      <c r="B9" s="3">
        <v>5</v>
      </c>
    </row>
  </sheetData>
  <mergeCells count="4">
    <mergeCell ref="A1:B1"/>
    <mergeCell ref="A2:B2"/>
    <mergeCell ref="A5:B5"/>
    <mergeCell ref="A8:B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0" customWidth="1"/>
    <col min="3" max="3" width="14" customWidth="1"/>
    <col min="4" max="4" width="10" customWidth="1"/>
    <col min="5" max="5" width="30" customWidth="1"/>
    <col min="6" max="6" width="10" customWidth="1"/>
    <col min="7" max="7" width="8" customWidth="1"/>
    <col min="8" max="8" width="16" customWidth="1"/>
    <col min="9" max="10" width="12" customWidth="1"/>
    <col min="11" max="11" width="10" customWidth="1"/>
    <col min="12" max="12" width="16" customWidth="1"/>
    <col min="13" max="13" width="14" customWidth="1"/>
    <col min="14" max="14" width="10" customWidth="1"/>
  </cols>
  <sheetData>
    <row r="1" ht="20" customHeight="1" spans="1:14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</row>
    <row r="2" spans="1:14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>
        <v>5</v>
      </c>
      <c r="G2" s="5">
        <v>0</v>
      </c>
      <c r="H2" s="5">
        <v>5</v>
      </c>
      <c r="I2" s="6">
        <v>0</v>
      </c>
      <c r="J2" s="6">
        <v>0</v>
      </c>
      <c r="K2" s="6">
        <f>Parametri!$B$6*I2+Parametri!$B$7*J2</f>
      </c>
      <c r="L2" s="5">
        <f>IF(K2&gt;=Parametri!$B$3,3,IF(K2&gt;=Parametri!$B$4,2,1))</f>
      </c>
      <c r="M2" s="5" t="s">
        <v>28</v>
      </c>
      <c r="N2" s="5" t="s">
        <v>29</v>
      </c>
    </row>
    <row r="3" spans="1:14" x14ac:dyDescent="0.25">
      <c r="A3" t="s">
        <v>23</v>
      </c>
      <c r="B3" t="s">
        <v>24</v>
      </c>
      <c r="C3" t="s">
        <v>25</v>
      </c>
      <c r="D3" t="s">
        <v>30</v>
      </c>
      <c r="E3" t="s">
        <v>31</v>
      </c>
      <c r="F3">
        <v>8</v>
      </c>
      <c r="G3">
        <v>0</v>
      </c>
      <c r="H3">
        <v>8</v>
      </c>
      <c r="I3" s="7">
        <v>1</v>
      </c>
      <c r="J3" s="7">
        <v>0</v>
      </c>
      <c r="K3" s="7">
        <f>Parametri!$B$6*I3+Parametri!$B$7*J3</f>
      </c>
      <c r="L3">
        <f>IF(K3&gt;=Parametri!$B$3,3,IF(K3&gt;=Parametri!$B$4,2,1))</f>
      </c>
      <c r="M3" t="s">
        <v>28</v>
      </c>
      <c r="N3" t="s">
        <v>29</v>
      </c>
    </row>
    <row r="4" spans="1:14" x14ac:dyDescent="0.25">
      <c r="A4" s="5" t="s">
        <v>23</v>
      </c>
      <c r="B4" s="5" t="s">
        <v>32</v>
      </c>
      <c r="C4" s="5" t="s">
        <v>25</v>
      </c>
      <c r="D4" s="5" t="s">
        <v>33</v>
      </c>
      <c r="E4" s="5" t="s">
        <v>34</v>
      </c>
      <c r="F4" s="5">
        <v>5</v>
      </c>
      <c r="G4" s="5">
        <v>0</v>
      </c>
      <c r="H4" s="5">
        <v>5</v>
      </c>
      <c r="I4" s="6">
        <v>0</v>
      </c>
      <c r="J4" s="6">
        <v>0</v>
      </c>
      <c r="K4" s="6">
        <f>Parametri!$B$6*I4+Parametri!$B$7*J4</f>
      </c>
      <c r="L4" s="5">
        <f>IF(K4&gt;=Parametri!$B$3,3,IF(K4&gt;=Parametri!$B$4,2,1))</f>
      </c>
      <c r="M4" s="5" t="s">
        <v>28</v>
      </c>
      <c r="N4" s="5" t="s">
        <v>29</v>
      </c>
    </row>
    <row r="5" spans="1:14" x14ac:dyDescent="0.25">
      <c r="A5" t="s">
        <v>23</v>
      </c>
      <c r="B5" t="s">
        <v>32</v>
      </c>
      <c r="C5" t="s">
        <v>25</v>
      </c>
      <c r="D5" t="s">
        <v>35</v>
      </c>
      <c r="E5" t="s">
        <v>36</v>
      </c>
      <c r="F5">
        <v>9</v>
      </c>
      <c r="G5">
        <v>0</v>
      </c>
      <c r="H5">
        <v>9</v>
      </c>
      <c r="I5" s="7">
        <v>1</v>
      </c>
      <c r="J5" s="7">
        <v>0</v>
      </c>
      <c r="K5" s="7">
        <f>Parametri!$B$6*I5+Parametri!$B$7*J5</f>
      </c>
      <c r="L5">
        <f>IF(K5&gt;=Parametri!$B$3,3,IF(K5&gt;=Parametri!$B$4,2,1))</f>
      </c>
      <c r="M5" t="s">
        <v>28</v>
      </c>
      <c r="N5" t="s">
        <v>29</v>
      </c>
    </row>
    <row r="6" spans="1:14" x14ac:dyDescent="0.25">
      <c r="A6" s="5" t="s">
        <v>23</v>
      </c>
      <c r="B6" s="5" t="s">
        <v>37</v>
      </c>
      <c r="C6" s="5" t="s">
        <v>25</v>
      </c>
      <c r="D6" s="5" t="s">
        <v>38</v>
      </c>
      <c r="E6" s="5" t="s">
        <v>39</v>
      </c>
      <c r="F6" s="5">
        <v>5</v>
      </c>
      <c r="G6" s="5">
        <v>0</v>
      </c>
      <c r="H6" s="5">
        <v>5</v>
      </c>
      <c r="I6" s="6">
        <v>1</v>
      </c>
      <c r="J6" s="6">
        <v>1</v>
      </c>
      <c r="K6" s="6">
        <f>Parametri!$B$6*I6+Parametri!$B$7*J6</f>
      </c>
      <c r="L6" s="5">
        <f>IF(K6&gt;=Parametri!$B$3,3,IF(K6&gt;=Parametri!$B$4,2,1))</f>
      </c>
      <c r="M6" s="5" t="s">
        <v>28</v>
      </c>
      <c r="N6" s="5" t="s">
        <v>29</v>
      </c>
    </row>
    <row r="7" spans="1:14" x14ac:dyDescent="0.25">
      <c r="A7" t="s">
        <v>23</v>
      </c>
      <c r="B7" t="s">
        <v>37</v>
      </c>
      <c r="C7" t="s">
        <v>25</v>
      </c>
      <c r="D7" t="s">
        <v>40</v>
      </c>
      <c r="E7" t="s">
        <v>41</v>
      </c>
      <c r="F7">
        <v>5</v>
      </c>
      <c r="G7">
        <v>1</v>
      </c>
      <c r="H7">
        <v>6</v>
      </c>
      <c r="I7" s="7">
        <v>1</v>
      </c>
      <c r="J7" s="7">
        <v>0</v>
      </c>
      <c r="K7" s="7">
        <f>Parametri!$B$6*I7+Parametri!$B$7*J7</f>
      </c>
      <c r="L7">
        <f>IF(K7&gt;=Parametri!$B$3,3,IF(K7&gt;=Parametri!$B$4,2,1))</f>
      </c>
      <c r="M7" t="s">
        <v>28</v>
      </c>
      <c r="N7" t="s">
        <v>29</v>
      </c>
    </row>
    <row r="8" spans="1:14" x14ac:dyDescent="0.25">
      <c r="A8" s="5" t="s">
        <v>23</v>
      </c>
      <c r="B8" s="5" t="s">
        <v>42</v>
      </c>
      <c r="C8" s="5" t="s">
        <v>25</v>
      </c>
      <c r="D8" s="5" t="s">
        <v>43</v>
      </c>
      <c r="E8" s="5" t="s">
        <v>44</v>
      </c>
      <c r="F8" s="5">
        <v>7</v>
      </c>
      <c r="G8" s="5">
        <v>0</v>
      </c>
      <c r="H8" s="5">
        <v>7</v>
      </c>
      <c r="I8" s="6">
        <v>0</v>
      </c>
      <c r="J8" s="6">
        <v>1</v>
      </c>
      <c r="K8" s="6">
        <f>Parametri!$B$6*I8+Parametri!$B$7*J8</f>
      </c>
      <c r="L8" s="5">
        <f>IF(K8&gt;=Parametri!$B$3,3,IF(K8&gt;=Parametri!$B$4,2,1))</f>
      </c>
      <c r="M8" s="5" t="s">
        <v>28</v>
      </c>
      <c r="N8" s="5" t="s">
        <v>29</v>
      </c>
    </row>
    <row r="9" spans="1:14" x14ac:dyDescent="0.25">
      <c r="A9" t="s">
        <v>23</v>
      </c>
      <c r="B9" t="s">
        <v>42</v>
      </c>
      <c r="C9" t="s">
        <v>25</v>
      </c>
      <c r="D9" t="s">
        <v>45</v>
      </c>
      <c r="E9" t="s">
        <v>46</v>
      </c>
      <c r="F9">
        <v>8</v>
      </c>
      <c r="G9">
        <v>1</v>
      </c>
      <c r="H9">
        <v>9</v>
      </c>
      <c r="I9" s="7">
        <v>1</v>
      </c>
      <c r="J9" s="7">
        <v>0</v>
      </c>
      <c r="K9" s="7">
        <f>Parametri!$B$6*I9+Parametri!$B$7*J9</f>
      </c>
      <c r="L9">
        <f>IF(K9&gt;=Parametri!$B$3,3,IF(K9&gt;=Parametri!$B$4,2,1))</f>
      </c>
      <c r="M9" t="s">
        <v>28</v>
      </c>
      <c r="N9" t="s">
        <v>29</v>
      </c>
    </row>
    <row r="10" spans="1:14" x14ac:dyDescent="0.25">
      <c r="A10" s="5" t="s">
        <v>23</v>
      </c>
      <c r="B10" s="5" t="s">
        <v>47</v>
      </c>
      <c r="C10" s="5" t="s">
        <v>25</v>
      </c>
      <c r="D10" s="5" t="s">
        <v>48</v>
      </c>
      <c r="E10" s="5" t="s">
        <v>49</v>
      </c>
      <c r="F10" s="5">
        <v>8</v>
      </c>
      <c r="G10" s="5">
        <v>0</v>
      </c>
      <c r="H10" s="5">
        <v>8</v>
      </c>
      <c r="I10" s="6">
        <v>1</v>
      </c>
      <c r="J10" s="6">
        <v>0</v>
      </c>
      <c r="K10" s="6">
        <f>Parametri!$B$6*I10+Parametri!$B$7*J10</f>
      </c>
      <c r="L10" s="5">
        <f>IF(K10&gt;=Parametri!$B$3,3,IF(K10&gt;=Parametri!$B$4,2,1))</f>
      </c>
      <c r="M10" s="5" t="s">
        <v>28</v>
      </c>
      <c r="N10" s="5" t="s">
        <v>29</v>
      </c>
    </row>
    <row r="11" spans="1:14" x14ac:dyDescent="0.25">
      <c r="A11" t="s">
        <v>23</v>
      </c>
      <c r="B11" t="s">
        <v>47</v>
      </c>
      <c r="C11" t="s">
        <v>25</v>
      </c>
      <c r="D11" t="s">
        <v>50</v>
      </c>
      <c r="E11" t="s">
        <v>51</v>
      </c>
      <c r="F11">
        <v>7</v>
      </c>
      <c r="G11">
        <v>0</v>
      </c>
      <c r="H11">
        <v>7</v>
      </c>
      <c r="I11" s="7">
        <v>0</v>
      </c>
      <c r="J11" s="7">
        <v>0</v>
      </c>
      <c r="K11" s="7">
        <f>Parametri!$B$6*I11+Parametri!$B$7*J11</f>
      </c>
      <c r="L11">
        <f>IF(K11&gt;=Parametri!$B$3,3,IF(K11&gt;=Parametri!$B$4,2,1))</f>
      </c>
      <c r="M11" t="s">
        <v>28</v>
      </c>
      <c r="N11" t="s">
        <v>29</v>
      </c>
    </row>
    <row r="12" spans="1:14" x14ac:dyDescent="0.25">
      <c r="A12" s="8" t="s">
        <v>23</v>
      </c>
      <c r="B12" s="8" t="s">
        <v>52</v>
      </c>
      <c r="C12" s="8" t="s">
        <v>25</v>
      </c>
      <c r="D12" s="8" t="s">
        <v>53</v>
      </c>
      <c r="E12" s="8" t="s">
        <v>54</v>
      </c>
      <c r="F12" s="8">
        <v>4</v>
      </c>
      <c r="G12" s="8">
        <v>0</v>
      </c>
      <c r="H12" s="8">
        <v>4</v>
      </c>
      <c r="I12" s="8" t="s">
        <v>55</v>
      </c>
      <c r="J12" s="8" t="s">
        <v>55</v>
      </c>
      <c r="K12" s="8" t="s">
        <v>55</v>
      </c>
      <c r="L12" s="8" t="s">
        <v>56</v>
      </c>
      <c r="M12" s="8" t="s">
        <v>28</v>
      </c>
      <c r="N12" s="8" t="s">
        <v>56</v>
      </c>
    </row>
    <row r="13" spans="1:14" x14ac:dyDescent="0.25">
      <c r="A13" s="8" t="s">
        <v>23</v>
      </c>
      <c r="B13" s="8" t="s">
        <v>52</v>
      </c>
      <c r="C13" s="8" t="s">
        <v>25</v>
      </c>
      <c r="D13" s="8" t="s">
        <v>57</v>
      </c>
      <c r="E13" s="8" t="s">
        <v>58</v>
      </c>
      <c r="F13" s="8">
        <v>4</v>
      </c>
      <c r="G13" s="8">
        <v>0</v>
      </c>
      <c r="H13" s="8">
        <v>4</v>
      </c>
      <c r="I13" s="8" t="s">
        <v>55</v>
      </c>
      <c r="J13" s="8" t="s">
        <v>55</v>
      </c>
      <c r="K13" s="8" t="s">
        <v>55</v>
      </c>
      <c r="L13" s="8" t="s">
        <v>56</v>
      </c>
      <c r="M13" s="8" t="s">
        <v>28</v>
      </c>
      <c r="N13" s="8" t="s">
        <v>56</v>
      </c>
    </row>
    <row r="14" spans="1:14" x14ac:dyDescent="0.25">
      <c r="A14" s="5" t="s">
        <v>23</v>
      </c>
      <c r="B14" s="5" t="s">
        <v>59</v>
      </c>
      <c r="C14" s="5" t="s">
        <v>25</v>
      </c>
      <c r="D14" s="5" t="s">
        <v>60</v>
      </c>
      <c r="E14" s="5" t="s">
        <v>61</v>
      </c>
      <c r="F14" s="5">
        <v>5</v>
      </c>
      <c r="G14" s="5">
        <v>0</v>
      </c>
      <c r="H14" s="5">
        <v>5</v>
      </c>
      <c r="I14" s="6">
        <v>0</v>
      </c>
      <c r="J14" s="6">
        <v>0</v>
      </c>
      <c r="K14" s="6">
        <f>Parametri!$B$6*I14+Parametri!$B$7*J14</f>
      </c>
      <c r="L14" s="5">
        <f>IF(K14&gt;=Parametri!$B$3,3,IF(K14&gt;=Parametri!$B$4,2,1))</f>
      </c>
      <c r="M14" s="5" t="s">
        <v>28</v>
      </c>
      <c r="N14" s="5" t="s">
        <v>29</v>
      </c>
    </row>
    <row r="15" spans="1:14" x14ac:dyDescent="0.25">
      <c r="A15" t="s">
        <v>23</v>
      </c>
      <c r="B15" t="s">
        <v>59</v>
      </c>
      <c r="C15" t="s">
        <v>25</v>
      </c>
      <c r="D15" t="s">
        <v>62</v>
      </c>
      <c r="E15" t="s">
        <v>63</v>
      </c>
      <c r="F15">
        <v>6</v>
      </c>
      <c r="G15">
        <v>0</v>
      </c>
      <c r="H15">
        <v>6</v>
      </c>
      <c r="I15" s="7">
        <v>1</v>
      </c>
      <c r="J15" s="7">
        <v>0</v>
      </c>
      <c r="K15" s="7">
        <f>Parametri!$B$6*I15+Parametri!$B$7*J15</f>
      </c>
      <c r="L15">
        <f>IF(K15&gt;=Parametri!$B$3,3,IF(K15&gt;=Parametri!$B$4,2,1))</f>
      </c>
      <c r="M15" t="s">
        <v>28</v>
      </c>
      <c r="N15" t="s">
        <v>29</v>
      </c>
    </row>
    <row r="16" spans="1:14" x14ac:dyDescent="0.25">
      <c r="A16" s="5" t="s">
        <v>23</v>
      </c>
      <c r="B16" s="5" t="s">
        <v>64</v>
      </c>
      <c r="C16" s="5" t="s">
        <v>25</v>
      </c>
      <c r="D16" s="5" t="s">
        <v>65</v>
      </c>
      <c r="E16" s="5" t="s">
        <v>66</v>
      </c>
      <c r="F16" s="5">
        <v>5</v>
      </c>
      <c r="G16" s="5">
        <v>0</v>
      </c>
      <c r="H16" s="5">
        <v>5</v>
      </c>
      <c r="I16" s="6">
        <v>1</v>
      </c>
      <c r="J16" s="6">
        <v>0</v>
      </c>
      <c r="K16" s="6">
        <f>Parametri!$B$6*I16+Parametri!$B$7*J16</f>
      </c>
      <c r="L16" s="5">
        <f>IF(K16&gt;=Parametri!$B$3,3,IF(K16&gt;=Parametri!$B$4,2,1))</f>
      </c>
      <c r="M16" s="5" t="s">
        <v>28</v>
      </c>
      <c r="N16" s="5" t="s">
        <v>29</v>
      </c>
    </row>
    <row r="17" spans="1:14" x14ac:dyDescent="0.25">
      <c r="A17" s="8" t="s">
        <v>23</v>
      </c>
      <c r="B17" s="8" t="s">
        <v>64</v>
      </c>
      <c r="C17" s="8" t="s">
        <v>25</v>
      </c>
      <c r="D17" s="8" t="s">
        <v>67</v>
      </c>
      <c r="E17" s="8" t="s">
        <v>68</v>
      </c>
      <c r="F17" s="8">
        <v>4</v>
      </c>
      <c r="G17" s="8">
        <v>0</v>
      </c>
      <c r="H17" s="8">
        <v>4</v>
      </c>
      <c r="I17" s="8" t="s">
        <v>55</v>
      </c>
      <c r="J17" s="8" t="s">
        <v>55</v>
      </c>
      <c r="K17" s="8" t="s">
        <v>55</v>
      </c>
      <c r="L17" s="8" t="s">
        <v>56</v>
      </c>
      <c r="M17" s="8" t="s">
        <v>28</v>
      </c>
      <c r="N17" s="8" t="s">
        <v>56</v>
      </c>
    </row>
    <row r="18" spans="1:14" x14ac:dyDescent="0.25">
      <c r="A18" s="5" t="s">
        <v>23</v>
      </c>
      <c r="B18" s="5" t="s">
        <v>69</v>
      </c>
      <c r="C18" s="5" t="s">
        <v>25</v>
      </c>
      <c r="D18" s="5" t="s">
        <v>70</v>
      </c>
      <c r="E18" s="5" t="s">
        <v>71</v>
      </c>
      <c r="F18" s="5">
        <v>7</v>
      </c>
      <c r="G18" s="5">
        <v>0</v>
      </c>
      <c r="H18" s="5">
        <v>7</v>
      </c>
      <c r="I18" s="6">
        <v>1</v>
      </c>
      <c r="J18" s="6">
        <v>1</v>
      </c>
      <c r="K18" s="6">
        <f>Parametri!$B$6*I18+Parametri!$B$7*J18</f>
      </c>
      <c r="L18" s="5">
        <f>IF(K18&gt;=Parametri!$B$3,3,IF(K18&gt;=Parametri!$B$4,2,1))</f>
      </c>
      <c r="M18" s="5" t="s">
        <v>28</v>
      </c>
      <c r="N18" s="5" t="s">
        <v>29</v>
      </c>
    </row>
    <row r="19" spans="1:14" x14ac:dyDescent="0.25">
      <c r="A19" t="s">
        <v>23</v>
      </c>
      <c r="B19" t="s">
        <v>69</v>
      </c>
      <c r="C19" t="s">
        <v>25</v>
      </c>
      <c r="D19" t="s">
        <v>72</v>
      </c>
      <c r="E19" t="s">
        <v>73</v>
      </c>
      <c r="F19">
        <v>5</v>
      </c>
      <c r="G19">
        <v>1</v>
      </c>
      <c r="H19">
        <v>6</v>
      </c>
      <c r="I19" s="7">
        <v>0</v>
      </c>
      <c r="J19" s="7">
        <v>0</v>
      </c>
      <c r="K19" s="7">
        <f>Parametri!$B$6*I19+Parametri!$B$7*J19</f>
      </c>
      <c r="L19">
        <f>IF(K19&gt;=Parametri!$B$3,3,IF(K19&gt;=Parametri!$B$4,2,1))</f>
      </c>
      <c r="M19" t="s">
        <v>28</v>
      </c>
      <c r="N19" t="s">
        <v>29</v>
      </c>
    </row>
    <row r="20" spans="1:14" x14ac:dyDescent="0.25">
      <c r="A20" s="5" t="s">
        <v>23</v>
      </c>
      <c r="B20" s="5" t="s">
        <v>74</v>
      </c>
      <c r="C20" s="5" t="s">
        <v>75</v>
      </c>
      <c r="D20" s="5" t="s">
        <v>76</v>
      </c>
      <c r="E20" s="5" t="s">
        <v>77</v>
      </c>
      <c r="F20" s="5">
        <v>8</v>
      </c>
      <c r="G20" s="5">
        <v>1</v>
      </c>
      <c r="H20" s="5">
        <v>9</v>
      </c>
      <c r="I20" s="6">
        <v>0.36363636363636365</v>
      </c>
      <c r="J20" s="6">
        <v>0.2727272727272727</v>
      </c>
      <c r="K20" s="6">
        <f>Parametri!$B$6*I20+Parametri!$B$7*J20</f>
      </c>
      <c r="L20" s="5">
        <f>IF(K20&gt;=Parametri!$B$3,3,IF(K20&gt;=Parametri!$B$4,2,1))</f>
      </c>
      <c r="M20" s="5" t="s">
        <v>28</v>
      </c>
      <c r="N20" s="5" t="s">
        <v>29</v>
      </c>
    </row>
    <row r="21" spans="1:14" x14ac:dyDescent="0.25">
      <c r="A21" t="s">
        <v>23</v>
      </c>
      <c r="B21" t="s">
        <v>74</v>
      </c>
      <c r="C21" t="s">
        <v>75</v>
      </c>
      <c r="D21" t="s">
        <v>78</v>
      </c>
      <c r="E21" t="s">
        <v>79</v>
      </c>
      <c r="F21">
        <v>7</v>
      </c>
      <c r="G21">
        <v>2</v>
      </c>
      <c r="H21">
        <v>9</v>
      </c>
      <c r="I21" s="7">
        <v>0.18181818181818182</v>
      </c>
      <c r="J21" s="7">
        <v>0.09090909090909094</v>
      </c>
      <c r="K21" s="7">
        <f>Parametri!$B$6*I21+Parametri!$B$7*J21</f>
      </c>
      <c r="L21">
        <f>IF(K21&gt;=Parametri!$B$3,3,IF(K21&gt;=Parametri!$B$4,2,1))</f>
      </c>
      <c r="M21" t="s">
        <v>28</v>
      </c>
      <c r="N21" t="s">
        <v>29</v>
      </c>
    </row>
    <row r="22" spans="1:14" x14ac:dyDescent="0.25">
      <c r="A22" s="5" t="s">
        <v>23</v>
      </c>
      <c r="B22" s="5" t="s">
        <v>74</v>
      </c>
      <c r="C22" s="5" t="s">
        <v>75</v>
      </c>
      <c r="D22" s="5" t="s">
        <v>80</v>
      </c>
      <c r="E22" s="5" t="s">
        <v>81</v>
      </c>
      <c r="F22" s="5">
        <v>9</v>
      </c>
      <c r="G22" s="5">
        <v>1</v>
      </c>
      <c r="H22" s="5">
        <v>10</v>
      </c>
      <c r="I22" s="6">
        <v>0.5454545454545454</v>
      </c>
      <c r="J22" s="6">
        <v>0.2727272727272727</v>
      </c>
      <c r="K22" s="6">
        <f>Parametri!$B$6*I22+Parametri!$B$7*J22</f>
      </c>
      <c r="L22" s="5">
        <f>IF(K22&gt;=Parametri!$B$3,3,IF(K22&gt;=Parametri!$B$4,2,1))</f>
      </c>
      <c r="M22" s="5" t="s">
        <v>28</v>
      </c>
      <c r="N22" s="5" t="s">
        <v>29</v>
      </c>
    </row>
    <row r="23" spans="1:14" x14ac:dyDescent="0.25">
      <c r="A23" t="s">
        <v>23</v>
      </c>
      <c r="B23" t="s">
        <v>74</v>
      </c>
      <c r="C23" t="s">
        <v>75</v>
      </c>
      <c r="D23" t="s">
        <v>82</v>
      </c>
      <c r="E23" t="s">
        <v>83</v>
      </c>
      <c r="F23">
        <v>7</v>
      </c>
      <c r="G23">
        <v>2</v>
      </c>
      <c r="H23">
        <v>9</v>
      </c>
      <c r="I23" s="7">
        <v>0.18181818181818182</v>
      </c>
      <c r="J23" s="7">
        <v>0.09090909090909094</v>
      </c>
      <c r="K23" s="7">
        <f>Parametri!$B$6*I23+Parametri!$B$7*J23</f>
      </c>
      <c r="L23">
        <f>IF(K23&gt;=Parametri!$B$3,3,IF(K23&gt;=Parametri!$B$4,2,1))</f>
      </c>
      <c r="M23" t="s">
        <v>28</v>
      </c>
      <c r="N23" t="s">
        <v>29</v>
      </c>
    </row>
    <row r="24" spans="1:14" x14ac:dyDescent="0.25">
      <c r="A24" s="5" t="s">
        <v>23</v>
      </c>
      <c r="B24" s="5" t="s">
        <v>74</v>
      </c>
      <c r="C24" s="5" t="s">
        <v>75</v>
      </c>
      <c r="D24" s="5" t="s">
        <v>84</v>
      </c>
      <c r="E24" s="5" t="s">
        <v>85</v>
      </c>
      <c r="F24" s="5">
        <v>14</v>
      </c>
      <c r="G24" s="5">
        <v>0</v>
      </c>
      <c r="H24" s="5">
        <v>14</v>
      </c>
      <c r="I24" s="6">
        <v>1</v>
      </c>
      <c r="J24" s="6">
        <v>1</v>
      </c>
      <c r="K24" s="6">
        <f>Parametri!$B$6*I24+Parametri!$B$7*J24</f>
      </c>
      <c r="L24" s="5">
        <f>IF(K24&gt;=Parametri!$B$3,3,IF(K24&gt;=Parametri!$B$4,2,1))</f>
      </c>
      <c r="M24" s="5" t="s">
        <v>28</v>
      </c>
      <c r="N24" s="5" t="s">
        <v>29</v>
      </c>
    </row>
    <row r="25" spans="1:14" x14ac:dyDescent="0.25">
      <c r="A25" t="s">
        <v>23</v>
      </c>
      <c r="B25" t="s">
        <v>74</v>
      </c>
      <c r="C25" t="s">
        <v>75</v>
      </c>
      <c r="D25" t="s">
        <v>86</v>
      </c>
      <c r="E25" t="s">
        <v>87</v>
      </c>
      <c r="F25">
        <v>10</v>
      </c>
      <c r="G25">
        <v>3</v>
      </c>
      <c r="H25">
        <v>13</v>
      </c>
      <c r="I25" s="7">
        <v>0.8181818181818182</v>
      </c>
      <c r="J25" s="7">
        <v>0</v>
      </c>
      <c r="K25" s="7">
        <f>Parametri!$B$6*I25+Parametri!$B$7*J25</f>
      </c>
      <c r="L25">
        <f>IF(K25&gt;=Parametri!$B$3,3,IF(K25&gt;=Parametri!$B$4,2,1))</f>
      </c>
      <c r="M25" t="s">
        <v>28</v>
      </c>
      <c r="N25" t="s">
        <v>29</v>
      </c>
    </row>
    <row r="26" spans="1:14" x14ac:dyDescent="0.25">
      <c r="A26" s="5" t="s">
        <v>23</v>
      </c>
      <c r="B26" s="5" t="s">
        <v>74</v>
      </c>
      <c r="C26" s="5" t="s">
        <v>75</v>
      </c>
      <c r="D26" s="5" t="s">
        <v>88</v>
      </c>
      <c r="E26" s="5" t="s">
        <v>89</v>
      </c>
      <c r="F26" s="5">
        <v>8</v>
      </c>
      <c r="G26" s="5">
        <v>1</v>
      </c>
      <c r="H26" s="5">
        <v>9</v>
      </c>
      <c r="I26" s="6">
        <v>0.36363636363636365</v>
      </c>
      <c r="J26" s="6">
        <v>0.2727272727272727</v>
      </c>
      <c r="K26" s="6">
        <f>Parametri!$B$6*I26+Parametri!$B$7*J26</f>
      </c>
      <c r="L26" s="5">
        <f>IF(K26&gt;=Parametri!$B$3,3,IF(K26&gt;=Parametri!$B$4,2,1))</f>
      </c>
      <c r="M26" s="5" t="s">
        <v>28</v>
      </c>
      <c r="N26" s="5" t="s">
        <v>29</v>
      </c>
    </row>
    <row r="27" spans="1:14" x14ac:dyDescent="0.25">
      <c r="A27" t="s">
        <v>23</v>
      </c>
      <c r="B27" t="s">
        <v>74</v>
      </c>
      <c r="C27" t="s">
        <v>75</v>
      </c>
      <c r="D27" t="s">
        <v>90</v>
      </c>
      <c r="E27" t="s">
        <v>91</v>
      </c>
      <c r="F27">
        <v>10</v>
      </c>
      <c r="G27">
        <v>1</v>
      </c>
      <c r="H27">
        <v>11</v>
      </c>
      <c r="I27" s="7">
        <v>0.8181818181818182</v>
      </c>
      <c r="J27" s="7">
        <v>0.2727272727272727</v>
      </c>
      <c r="K27" s="7">
        <f>Parametri!$B$6*I27+Parametri!$B$7*J27</f>
      </c>
      <c r="L27">
        <f>IF(K27&gt;=Parametri!$B$3,3,IF(K27&gt;=Parametri!$B$4,2,1))</f>
      </c>
      <c r="M27" t="s">
        <v>28</v>
      </c>
      <c r="N27" t="s">
        <v>29</v>
      </c>
    </row>
    <row r="28" spans="1:14" x14ac:dyDescent="0.25">
      <c r="A28" s="5" t="s">
        <v>23</v>
      </c>
      <c r="B28" s="5" t="s">
        <v>74</v>
      </c>
      <c r="C28" s="5" t="s">
        <v>75</v>
      </c>
      <c r="D28" s="5" t="s">
        <v>92</v>
      </c>
      <c r="E28" s="5" t="s">
        <v>93</v>
      </c>
      <c r="F28" s="5">
        <v>9</v>
      </c>
      <c r="G28" s="5">
        <v>1</v>
      </c>
      <c r="H28" s="5">
        <v>10</v>
      </c>
      <c r="I28" s="6">
        <v>0.5454545454545454</v>
      </c>
      <c r="J28" s="6">
        <v>0.2727272727272727</v>
      </c>
      <c r="K28" s="6">
        <f>Parametri!$B$6*I28+Parametri!$B$7*J28</f>
      </c>
      <c r="L28" s="5">
        <f>IF(K28&gt;=Parametri!$B$3,3,IF(K28&gt;=Parametri!$B$4,2,1))</f>
      </c>
      <c r="M28" s="5" t="s">
        <v>28</v>
      </c>
      <c r="N28" s="5" t="s">
        <v>29</v>
      </c>
    </row>
    <row r="29" spans="1:14" x14ac:dyDescent="0.25">
      <c r="A29" t="s">
        <v>23</v>
      </c>
      <c r="B29" t="s">
        <v>74</v>
      </c>
      <c r="C29" t="s">
        <v>75</v>
      </c>
      <c r="D29" t="s">
        <v>94</v>
      </c>
      <c r="E29" t="s">
        <v>95</v>
      </c>
      <c r="F29">
        <v>10</v>
      </c>
      <c r="G29">
        <v>1</v>
      </c>
      <c r="H29">
        <v>11</v>
      </c>
      <c r="I29" s="7">
        <v>0.8181818181818182</v>
      </c>
      <c r="J29" s="7">
        <v>0.2727272727272727</v>
      </c>
      <c r="K29" s="7">
        <f>Parametri!$B$6*I29+Parametri!$B$7*J29</f>
      </c>
      <c r="L29">
        <f>IF(K29&gt;=Parametri!$B$3,3,IF(K29&gt;=Parametri!$B$4,2,1))</f>
      </c>
      <c r="M29" t="s">
        <v>28</v>
      </c>
      <c r="N29" t="s">
        <v>29</v>
      </c>
    </row>
    <row r="30" spans="1:14" x14ac:dyDescent="0.25">
      <c r="A30" s="5" t="s">
        <v>23</v>
      </c>
      <c r="B30" s="5" t="s">
        <v>74</v>
      </c>
      <c r="C30" s="5" t="s">
        <v>75</v>
      </c>
      <c r="D30" s="5" t="s">
        <v>96</v>
      </c>
      <c r="E30" s="5" t="s">
        <v>97</v>
      </c>
      <c r="F30" s="5">
        <v>6</v>
      </c>
      <c r="G30" s="5">
        <v>1</v>
      </c>
      <c r="H30" s="5">
        <v>7</v>
      </c>
      <c r="I30" s="6">
        <v>0</v>
      </c>
      <c r="J30" s="6">
        <v>0.2727272727272727</v>
      </c>
      <c r="K30" s="6">
        <f>Parametri!$B$6*I30+Parametri!$B$7*J30</f>
      </c>
      <c r="L30" s="5">
        <f>IF(K30&gt;=Parametri!$B$3,3,IF(K30&gt;=Parametri!$B$4,2,1))</f>
      </c>
      <c r="M30" s="5" t="s">
        <v>28</v>
      </c>
      <c r="N30" s="5" t="s">
        <v>29</v>
      </c>
    </row>
    <row r="31" spans="1:14" x14ac:dyDescent="0.25">
      <c r="A31" t="s">
        <v>23</v>
      </c>
      <c r="B31" t="s">
        <v>74</v>
      </c>
      <c r="C31" t="s">
        <v>75</v>
      </c>
      <c r="D31" t="s">
        <v>98</v>
      </c>
      <c r="E31" t="s">
        <v>99</v>
      </c>
      <c r="F31">
        <v>11</v>
      </c>
      <c r="G31">
        <v>1</v>
      </c>
      <c r="H31">
        <v>12</v>
      </c>
      <c r="I31" s="7">
        <v>0.9090909090909091</v>
      </c>
      <c r="J31" s="7">
        <v>0.2727272727272727</v>
      </c>
      <c r="K31" s="7">
        <f>Parametri!$B$6*I31+Parametri!$B$7*J31</f>
      </c>
      <c r="L31">
        <f>IF(K31&gt;=Parametri!$B$3,3,IF(K31&gt;=Parametri!$B$4,2,1))</f>
      </c>
      <c r="M31" t="s">
        <v>28</v>
      </c>
      <c r="N31" t="s">
        <v>29</v>
      </c>
    </row>
    <row r="32" spans="1:14" x14ac:dyDescent="0.25">
      <c r="A32" s="5" t="s">
        <v>23</v>
      </c>
      <c r="B32" s="5" t="s">
        <v>100</v>
      </c>
      <c r="C32" s="5" t="s">
        <v>25</v>
      </c>
      <c r="D32" s="5" t="s">
        <v>101</v>
      </c>
      <c r="E32" s="5" t="s">
        <v>102</v>
      </c>
      <c r="F32" s="5">
        <v>5</v>
      </c>
      <c r="G32" s="5">
        <v>0</v>
      </c>
      <c r="H32" s="5">
        <v>5</v>
      </c>
      <c r="I32" s="6">
        <v>0</v>
      </c>
      <c r="J32" s="6">
        <v>0</v>
      </c>
      <c r="K32" s="6">
        <f>Parametri!$B$6*I32+Parametri!$B$7*J32</f>
      </c>
      <c r="L32" s="5">
        <f>IF(K32&gt;=Parametri!$B$3,3,IF(K32&gt;=Parametri!$B$4,2,1))</f>
      </c>
      <c r="M32" s="5" t="s">
        <v>28</v>
      </c>
      <c r="N32" s="5" t="s">
        <v>29</v>
      </c>
    </row>
    <row r="33" spans="1:14" x14ac:dyDescent="0.25">
      <c r="A33" t="s">
        <v>23</v>
      </c>
      <c r="B33" t="s">
        <v>100</v>
      </c>
      <c r="C33" t="s">
        <v>25</v>
      </c>
      <c r="D33" t="s">
        <v>103</v>
      </c>
      <c r="E33" t="s">
        <v>104</v>
      </c>
      <c r="F33">
        <v>6</v>
      </c>
      <c r="G33">
        <v>0</v>
      </c>
      <c r="H33">
        <v>6</v>
      </c>
      <c r="I33" s="7">
        <v>1</v>
      </c>
      <c r="J33" s="7">
        <v>0</v>
      </c>
      <c r="K33" s="7">
        <f>Parametri!$B$6*I33+Parametri!$B$7*J33</f>
      </c>
      <c r="L33">
        <f>IF(K33&gt;=Parametri!$B$3,3,IF(K33&gt;=Parametri!$B$4,2,1))</f>
      </c>
      <c r="M33" t="s">
        <v>28</v>
      </c>
      <c r="N33" t="s">
        <v>29</v>
      </c>
    </row>
    <row r="34" spans="1:14" x14ac:dyDescent="0.25">
      <c r="A34" s="5" t="s">
        <v>23</v>
      </c>
      <c r="B34" s="5" t="s">
        <v>105</v>
      </c>
      <c r="C34" s="5" t="s">
        <v>25</v>
      </c>
      <c r="D34" s="5" t="s">
        <v>106</v>
      </c>
      <c r="E34" s="5" t="s">
        <v>107</v>
      </c>
      <c r="F34" s="5">
        <v>7</v>
      </c>
      <c r="G34" s="5">
        <v>0</v>
      </c>
      <c r="H34" s="5">
        <v>7</v>
      </c>
      <c r="I34" s="6">
        <v>1</v>
      </c>
      <c r="J34" s="6">
        <v>0</v>
      </c>
      <c r="K34" s="6">
        <f>Parametri!$B$6*I34+Parametri!$B$7*J34</f>
      </c>
      <c r="L34" s="5">
        <f>IF(K34&gt;=Parametri!$B$3,3,IF(K34&gt;=Parametri!$B$4,2,1))</f>
      </c>
      <c r="M34" s="5" t="s">
        <v>28</v>
      </c>
      <c r="N34" s="5" t="s">
        <v>29</v>
      </c>
    </row>
    <row r="35" spans="1:14" x14ac:dyDescent="0.25">
      <c r="A35" t="s">
        <v>23</v>
      </c>
      <c r="B35" t="s">
        <v>105</v>
      </c>
      <c r="C35" t="s">
        <v>25</v>
      </c>
      <c r="D35" t="s">
        <v>108</v>
      </c>
      <c r="E35" t="s">
        <v>109</v>
      </c>
      <c r="F35">
        <v>7</v>
      </c>
      <c r="G35">
        <v>0</v>
      </c>
      <c r="H35">
        <v>7</v>
      </c>
      <c r="I35" s="7">
        <v>1</v>
      </c>
      <c r="J35" s="7">
        <v>0</v>
      </c>
      <c r="K35" s="7">
        <f>Parametri!$B$6*I35+Parametri!$B$7*J35</f>
      </c>
      <c r="L35">
        <f>IF(K35&gt;=Parametri!$B$3,3,IF(K35&gt;=Parametri!$B$4,2,1))</f>
      </c>
      <c r="M35" t="s">
        <v>28</v>
      </c>
      <c r="N35" t="s">
        <v>29</v>
      </c>
    </row>
    <row r="36" spans="1:14" x14ac:dyDescent="0.25">
      <c r="A36" s="5" t="s">
        <v>23</v>
      </c>
      <c r="B36" s="5" t="s">
        <v>110</v>
      </c>
      <c r="C36" s="5" t="s">
        <v>75</v>
      </c>
      <c r="D36" s="5" t="s">
        <v>111</v>
      </c>
      <c r="E36" s="5" t="s">
        <v>112</v>
      </c>
      <c r="F36" s="5">
        <v>7</v>
      </c>
      <c r="G36" s="5">
        <v>13</v>
      </c>
      <c r="H36" s="5">
        <v>20</v>
      </c>
      <c r="I36" s="6">
        <v>0.13333333333333333</v>
      </c>
      <c r="J36" s="6">
        <v>0.19999999999999996</v>
      </c>
      <c r="K36" s="6">
        <f>Parametri!$B$6*I36+Parametri!$B$7*J36</f>
      </c>
      <c r="L36" s="5">
        <f>IF(K36&gt;=Parametri!$B$3,3,IF(K36&gt;=Parametri!$B$4,2,1))</f>
      </c>
      <c r="M36" s="5" t="s">
        <v>28</v>
      </c>
      <c r="N36" s="5" t="s">
        <v>29</v>
      </c>
    </row>
    <row r="37" spans="1:14" x14ac:dyDescent="0.25">
      <c r="A37" t="s">
        <v>23</v>
      </c>
      <c r="B37" t="s">
        <v>110</v>
      </c>
      <c r="C37" t="s">
        <v>75</v>
      </c>
      <c r="D37" t="s">
        <v>113</v>
      </c>
      <c r="E37" t="s">
        <v>114</v>
      </c>
      <c r="F37">
        <v>10</v>
      </c>
      <c r="G37">
        <v>10</v>
      </c>
      <c r="H37">
        <v>20</v>
      </c>
      <c r="I37" s="7">
        <v>0.8</v>
      </c>
      <c r="J37" s="7">
        <v>0.6</v>
      </c>
      <c r="K37" s="7">
        <f>Parametri!$B$6*I37+Parametri!$B$7*J37</f>
      </c>
      <c r="L37">
        <f>IF(K37&gt;=Parametri!$B$3,3,IF(K37&gt;=Parametri!$B$4,2,1))</f>
      </c>
      <c r="M37" t="s">
        <v>28</v>
      </c>
      <c r="N37" t="s">
        <v>29</v>
      </c>
    </row>
    <row r="38" spans="1:14" x14ac:dyDescent="0.25">
      <c r="A38" s="5" t="s">
        <v>23</v>
      </c>
      <c r="B38" s="5" t="s">
        <v>110</v>
      </c>
      <c r="C38" s="5" t="s">
        <v>75</v>
      </c>
      <c r="D38" s="5" t="s">
        <v>115</v>
      </c>
      <c r="E38" s="5" t="s">
        <v>116</v>
      </c>
      <c r="F38" s="5">
        <v>10</v>
      </c>
      <c r="G38" s="5">
        <v>11</v>
      </c>
      <c r="H38" s="5">
        <v>21</v>
      </c>
      <c r="I38" s="6">
        <v>0.8</v>
      </c>
      <c r="J38" s="6">
        <v>0.5333333333333333</v>
      </c>
      <c r="K38" s="6">
        <f>Parametri!$B$6*I38+Parametri!$B$7*J38</f>
      </c>
      <c r="L38" s="5">
        <f>IF(K38&gt;=Parametri!$B$3,3,IF(K38&gt;=Parametri!$B$4,2,1))</f>
      </c>
      <c r="M38" s="5" t="s">
        <v>28</v>
      </c>
      <c r="N38" s="5" t="s">
        <v>29</v>
      </c>
    </row>
    <row r="39" spans="1:14" x14ac:dyDescent="0.25">
      <c r="A39" t="s">
        <v>23</v>
      </c>
      <c r="B39" t="s">
        <v>110</v>
      </c>
      <c r="C39" t="s">
        <v>75</v>
      </c>
      <c r="D39" t="s">
        <v>117</v>
      </c>
      <c r="E39" t="s">
        <v>118</v>
      </c>
      <c r="F39">
        <v>10</v>
      </c>
      <c r="G39">
        <v>12</v>
      </c>
      <c r="H39">
        <v>22</v>
      </c>
      <c r="I39" s="7">
        <v>0.8</v>
      </c>
      <c r="J39" s="7">
        <v>0.4666666666666667</v>
      </c>
      <c r="K39" s="7">
        <f>Parametri!$B$6*I39+Parametri!$B$7*J39</f>
      </c>
      <c r="L39">
        <f>IF(K39&gt;=Parametri!$B$3,3,IF(K39&gt;=Parametri!$B$4,2,1))</f>
      </c>
      <c r="M39" t="s">
        <v>28</v>
      </c>
      <c r="N39" t="s">
        <v>29</v>
      </c>
    </row>
    <row r="40" spans="1:14" x14ac:dyDescent="0.25">
      <c r="A40" s="5" t="s">
        <v>23</v>
      </c>
      <c r="B40" s="5" t="s">
        <v>110</v>
      </c>
      <c r="C40" s="5" t="s">
        <v>75</v>
      </c>
      <c r="D40" s="5" t="s">
        <v>119</v>
      </c>
      <c r="E40" s="5" t="s">
        <v>120</v>
      </c>
      <c r="F40" s="5">
        <v>8</v>
      </c>
      <c r="G40" s="5">
        <v>10</v>
      </c>
      <c r="H40" s="5">
        <v>18</v>
      </c>
      <c r="I40" s="6">
        <v>0.3333333333333333</v>
      </c>
      <c r="J40" s="6">
        <v>0.6</v>
      </c>
      <c r="K40" s="6">
        <f>Parametri!$B$6*I40+Parametri!$B$7*J40</f>
      </c>
      <c r="L40" s="5">
        <f>IF(K40&gt;=Parametri!$B$3,3,IF(K40&gt;=Parametri!$B$4,2,1))</f>
      </c>
      <c r="M40" s="5" t="s">
        <v>28</v>
      </c>
      <c r="N40" s="5" t="s">
        <v>29</v>
      </c>
    </row>
    <row r="41" spans="1:14" x14ac:dyDescent="0.25">
      <c r="A41" t="s">
        <v>23</v>
      </c>
      <c r="B41" t="s">
        <v>110</v>
      </c>
      <c r="C41" t="s">
        <v>75</v>
      </c>
      <c r="D41" t="s">
        <v>121</v>
      </c>
      <c r="E41" t="s">
        <v>122</v>
      </c>
      <c r="F41">
        <v>8</v>
      </c>
      <c r="G41">
        <v>16</v>
      </c>
      <c r="H41">
        <v>24</v>
      </c>
      <c r="I41" s="7">
        <v>0.3333333333333333</v>
      </c>
      <c r="J41" s="7">
        <v>0</v>
      </c>
      <c r="K41" s="7">
        <f>Parametri!$B$6*I41+Parametri!$B$7*J41</f>
      </c>
      <c r="L41">
        <f>IF(K41&gt;=Parametri!$B$3,3,IF(K41&gt;=Parametri!$B$4,2,1))</f>
      </c>
      <c r="M41" t="s">
        <v>28</v>
      </c>
      <c r="N41" t="s">
        <v>29</v>
      </c>
    </row>
    <row r="42" spans="1:14" x14ac:dyDescent="0.25">
      <c r="A42" s="5" t="s">
        <v>23</v>
      </c>
      <c r="B42" s="5" t="s">
        <v>110</v>
      </c>
      <c r="C42" s="5" t="s">
        <v>75</v>
      </c>
      <c r="D42" s="5" t="s">
        <v>123</v>
      </c>
      <c r="E42" s="5" t="s">
        <v>124</v>
      </c>
      <c r="F42" s="5">
        <v>7</v>
      </c>
      <c r="G42" s="5">
        <v>13</v>
      </c>
      <c r="H42" s="5">
        <v>20</v>
      </c>
      <c r="I42" s="6">
        <v>0.13333333333333333</v>
      </c>
      <c r="J42" s="6">
        <v>0.19999999999999996</v>
      </c>
      <c r="K42" s="6">
        <f>Parametri!$B$6*I42+Parametri!$B$7*J42</f>
      </c>
      <c r="L42" s="5">
        <f>IF(K42&gt;=Parametri!$B$3,3,IF(K42&gt;=Parametri!$B$4,2,1))</f>
      </c>
      <c r="M42" s="5" t="s">
        <v>28</v>
      </c>
      <c r="N42" s="5" t="s">
        <v>29</v>
      </c>
    </row>
    <row r="43" spans="1:14" x14ac:dyDescent="0.25">
      <c r="A43" t="s">
        <v>23</v>
      </c>
      <c r="B43" t="s">
        <v>110</v>
      </c>
      <c r="C43" t="s">
        <v>75</v>
      </c>
      <c r="D43" t="s">
        <v>125</v>
      </c>
      <c r="E43" t="s">
        <v>126</v>
      </c>
      <c r="F43">
        <v>9</v>
      </c>
      <c r="G43">
        <v>14</v>
      </c>
      <c r="H43">
        <v>23</v>
      </c>
      <c r="I43" s="7">
        <v>0.5333333333333333</v>
      </c>
      <c r="J43" s="7">
        <v>0.1333333333333333</v>
      </c>
      <c r="K43" s="7">
        <f>Parametri!$B$6*I43+Parametri!$B$7*J43</f>
      </c>
      <c r="L43">
        <f>IF(K43&gt;=Parametri!$B$3,3,IF(K43&gt;=Parametri!$B$4,2,1))</f>
      </c>
      <c r="M43" t="s">
        <v>28</v>
      </c>
      <c r="N43" t="s">
        <v>29</v>
      </c>
    </row>
    <row r="44" spans="1:14" x14ac:dyDescent="0.25">
      <c r="A44" s="5" t="s">
        <v>23</v>
      </c>
      <c r="B44" s="5" t="s">
        <v>110</v>
      </c>
      <c r="C44" s="5" t="s">
        <v>75</v>
      </c>
      <c r="D44" s="5" t="s">
        <v>127</v>
      </c>
      <c r="E44" s="5" t="s">
        <v>128</v>
      </c>
      <c r="F44" s="5">
        <v>11</v>
      </c>
      <c r="G44" s="5">
        <v>8</v>
      </c>
      <c r="H44" s="5">
        <v>19</v>
      </c>
      <c r="I44" s="6">
        <v>0.9333333333333333</v>
      </c>
      <c r="J44" s="6">
        <v>0.8666666666666667</v>
      </c>
      <c r="K44" s="6">
        <f>Parametri!$B$6*I44+Parametri!$B$7*J44</f>
      </c>
      <c r="L44" s="5">
        <f>IF(K44&gt;=Parametri!$B$3,3,IF(K44&gt;=Parametri!$B$4,2,1))</f>
      </c>
      <c r="M44" s="5" t="s">
        <v>28</v>
      </c>
      <c r="N44" s="5" t="s">
        <v>29</v>
      </c>
    </row>
    <row r="45" spans="1:14" x14ac:dyDescent="0.25">
      <c r="A45" t="s">
        <v>23</v>
      </c>
      <c r="B45" t="s">
        <v>110</v>
      </c>
      <c r="C45" t="s">
        <v>75</v>
      </c>
      <c r="D45" t="s">
        <v>129</v>
      </c>
      <c r="E45" t="s">
        <v>130</v>
      </c>
      <c r="F45">
        <v>11</v>
      </c>
      <c r="G45">
        <v>13</v>
      </c>
      <c r="H45">
        <v>24</v>
      </c>
      <c r="I45" s="7">
        <v>0.9333333333333333</v>
      </c>
      <c r="J45" s="7">
        <v>0.19999999999999996</v>
      </c>
      <c r="K45" s="7">
        <f>Parametri!$B$6*I45+Parametri!$B$7*J45</f>
      </c>
      <c r="L45">
        <f>IF(K45&gt;=Parametri!$B$3,3,IF(K45&gt;=Parametri!$B$4,2,1))</f>
      </c>
      <c r="M45" t="s">
        <v>28</v>
      </c>
      <c r="N45" t="s">
        <v>29</v>
      </c>
    </row>
    <row r="46" spans="1:14" x14ac:dyDescent="0.25">
      <c r="A46" s="5" t="s">
        <v>23</v>
      </c>
      <c r="B46" s="5" t="s">
        <v>110</v>
      </c>
      <c r="C46" s="5" t="s">
        <v>75</v>
      </c>
      <c r="D46" s="5" t="s">
        <v>131</v>
      </c>
      <c r="E46" s="5" t="s">
        <v>132</v>
      </c>
      <c r="F46" s="5">
        <v>7</v>
      </c>
      <c r="G46" s="5">
        <v>16</v>
      </c>
      <c r="H46" s="5">
        <v>23</v>
      </c>
      <c r="I46" s="6">
        <v>0.13333333333333333</v>
      </c>
      <c r="J46" s="6">
        <v>0</v>
      </c>
      <c r="K46" s="6">
        <f>Parametri!$B$6*I46+Parametri!$B$7*J46</f>
      </c>
      <c r="L46" s="5">
        <f>IF(K46&gt;=Parametri!$B$3,3,IF(K46&gt;=Parametri!$B$4,2,1))</f>
      </c>
      <c r="M46" s="5" t="s">
        <v>28</v>
      </c>
      <c r="N46" s="5" t="s">
        <v>29</v>
      </c>
    </row>
    <row r="47" spans="1:14" x14ac:dyDescent="0.25">
      <c r="A47" t="s">
        <v>23</v>
      </c>
      <c r="B47" t="s">
        <v>110</v>
      </c>
      <c r="C47" t="s">
        <v>75</v>
      </c>
      <c r="D47" t="s">
        <v>133</v>
      </c>
      <c r="E47" t="s">
        <v>134</v>
      </c>
      <c r="F47">
        <v>14</v>
      </c>
      <c r="G47">
        <v>7</v>
      </c>
      <c r="H47">
        <v>21</v>
      </c>
      <c r="I47" s="7">
        <v>1</v>
      </c>
      <c r="J47" s="7">
        <v>1</v>
      </c>
      <c r="K47" s="7">
        <f>Parametri!$B$6*I47+Parametri!$B$7*J47</f>
      </c>
      <c r="L47">
        <f>IF(K47&gt;=Parametri!$B$3,3,IF(K47&gt;=Parametri!$B$4,2,1))</f>
      </c>
      <c r="M47" t="s">
        <v>28</v>
      </c>
      <c r="N47" t="s">
        <v>29</v>
      </c>
    </row>
    <row r="48" spans="1:14" x14ac:dyDescent="0.25">
      <c r="A48" s="5" t="s">
        <v>23</v>
      </c>
      <c r="B48" s="5" t="s">
        <v>110</v>
      </c>
      <c r="C48" s="5" t="s">
        <v>75</v>
      </c>
      <c r="D48" s="5" t="s">
        <v>135</v>
      </c>
      <c r="E48" s="5" t="s">
        <v>136</v>
      </c>
      <c r="F48" s="5">
        <v>10</v>
      </c>
      <c r="G48" s="5">
        <v>9</v>
      </c>
      <c r="H48" s="5">
        <v>19</v>
      </c>
      <c r="I48" s="6">
        <v>0.8</v>
      </c>
      <c r="J48" s="6">
        <v>0.8</v>
      </c>
      <c r="K48" s="6">
        <f>Parametri!$B$6*I48+Parametri!$B$7*J48</f>
      </c>
      <c r="L48" s="5">
        <f>IF(K48&gt;=Parametri!$B$3,3,IF(K48&gt;=Parametri!$B$4,2,1))</f>
      </c>
      <c r="M48" s="5" t="s">
        <v>28</v>
      </c>
      <c r="N48" s="5" t="s">
        <v>29</v>
      </c>
    </row>
    <row r="49" spans="1:14" x14ac:dyDescent="0.25">
      <c r="A49" t="s">
        <v>23</v>
      </c>
      <c r="B49" t="s">
        <v>110</v>
      </c>
      <c r="C49" t="s">
        <v>75</v>
      </c>
      <c r="D49" t="s">
        <v>137</v>
      </c>
      <c r="E49" t="s">
        <v>138</v>
      </c>
      <c r="F49">
        <v>9</v>
      </c>
      <c r="G49">
        <v>13</v>
      </c>
      <c r="H49">
        <v>22</v>
      </c>
      <c r="I49" s="7">
        <v>0.5333333333333333</v>
      </c>
      <c r="J49" s="7">
        <v>0.19999999999999996</v>
      </c>
      <c r="K49" s="7">
        <f>Parametri!$B$6*I49+Parametri!$B$7*J49</f>
      </c>
      <c r="L49">
        <f>IF(K49&gt;=Parametri!$B$3,3,IF(K49&gt;=Parametri!$B$4,2,1))</f>
      </c>
      <c r="M49" t="s">
        <v>28</v>
      </c>
      <c r="N49" t="s">
        <v>29</v>
      </c>
    </row>
    <row r="50" spans="1:14" x14ac:dyDescent="0.25">
      <c r="A50" s="5" t="s">
        <v>23</v>
      </c>
      <c r="B50" s="5" t="s">
        <v>110</v>
      </c>
      <c r="C50" s="5" t="s">
        <v>75</v>
      </c>
      <c r="D50" s="5" t="s">
        <v>139</v>
      </c>
      <c r="E50" s="5" t="s">
        <v>140</v>
      </c>
      <c r="F50" s="5">
        <v>9</v>
      </c>
      <c r="G50" s="5">
        <v>10</v>
      </c>
      <c r="H50" s="5">
        <v>19</v>
      </c>
      <c r="I50" s="6">
        <v>0.5333333333333333</v>
      </c>
      <c r="J50" s="6">
        <v>0.6</v>
      </c>
      <c r="K50" s="6">
        <f>Parametri!$B$6*I50+Parametri!$B$7*J50</f>
      </c>
      <c r="L50" s="5">
        <f>IF(K50&gt;=Parametri!$B$3,3,IF(K50&gt;=Parametri!$B$4,2,1))</f>
      </c>
      <c r="M50" s="5" t="s">
        <v>28</v>
      </c>
      <c r="N50" s="5" t="s">
        <v>29</v>
      </c>
    </row>
    <row r="51" spans="1:14" x14ac:dyDescent="0.25">
      <c r="A51" t="s">
        <v>23</v>
      </c>
      <c r="B51" t="s">
        <v>110</v>
      </c>
      <c r="C51" t="s">
        <v>75</v>
      </c>
      <c r="D51" t="s">
        <v>141</v>
      </c>
      <c r="E51" t="s">
        <v>142</v>
      </c>
      <c r="F51">
        <v>8</v>
      </c>
      <c r="G51">
        <v>8</v>
      </c>
      <c r="H51">
        <v>16</v>
      </c>
      <c r="I51" s="7">
        <v>0.3333333333333333</v>
      </c>
      <c r="J51" s="7">
        <v>0.8666666666666667</v>
      </c>
      <c r="K51" s="7">
        <f>Parametri!$B$6*I51+Parametri!$B$7*J51</f>
      </c>
      <c r="L51">
        <f>IF(K51&gt;=Parametri!$B$3,3,IF(K51&gt;=Parametri!$B$4,2,1))</f>
      </c>
      <c r="M51" t="s">
        <v>28</v>
      </c>
      <c r="N51" t="s">
        <v>29</v>
      </c>
    </row>
    <row r="52" spans="1:14" x14ac:dyDescent="0.25">
      <c r="A52" s="5" t="s">
        <v>23</v>
      </c>
      <c r="B52" s="5" t="s">
        <v>143</v>
      </c>
      <c r="C52" s="5" t="s">
        <v>25</v>
      </c>
      <c r="D52" s="5" t="s">
        <v>144</v>
      </c>
      <c r="E52" s="5" t="s">
        <v>145</v>
      </c>
      <c r="F52" s="5">
        <v>5</v>
      </c>
      <c r="G52" s="5">
        <v>1</v>
      </c>
      <c r="H52" s="5">
        <v>6</v>
      </c>
      <c r="I52" s="6">
        <v>1</v>
      </c>
      <c r="J52" s="6">
        <v>0</v>
      </c>
      <c r="K52" s="6">
        <f>Parametri!$B$6*I52+Parametri!$B$7*J52</f>
      </c>
      <c r="L52" s="5">
        <f>IF(K52&gt;=Parametri!$B$3,3,IF(K52&gt;=Parametri!$B$4,2,1))</f>
      </c>
      <c r="M52" s="5" t="s">
        <v>28</v>
      </c>
      <c r="N52" s="5" t="s">
        <v>29</v>
      </c>
    </row>
    <row r="53" spans="1:14" x14ac:dyDescent="0.25">
      <c r="A53" s="8" t="s">
        <v>23</v>
      </c>
      <c r="B53" s="8" t="s">
        <v>143</v>
      </c>
      <c r="C53" s="8" t="s">
        <v>25</v>
      </c>
      <c r="D53" s="8" t="s">
        <v>146</v>
      </c>
      <c r="E53" s="8" t="s">
        <v>147</v>
      </c>
      <c r="F53" s="8">
        <v>4</v>
      </c>
      <c r="G53" s="8">
        <v>0</v>
      </c>
      <c r="H53" s="8">
        <v>4</v>
      </c>
      <c r="I53" s="8" t="s">
        <v>55</v>
      </c>
      <c r="J53" s="8" t="s">
        <v>55</v>
      </c>
      <c r="K53" s="8" t="s">
        <v>55</v>
      </c>
      <c r="L53" s="8" t="s">
        <v>56</v>
      </c>
      <c r="M53" s="8" t="s">
        <v>28</v>
      </c>
      <c r="N53" s="8" t="s">
        <v>56</v>
      </c>
    </row>
    <row r="54" spans="1:14" x14ac:dyDescent="0.25">
      <c r="A54" s="8" t="s">
        <v>23</v>
      </c>
      <c r="B54" s="8" t="s">
        <v>148</v>
      </c>
      <c r="C54" s="8" t="s">
        <v>25</v>
      </c>
      <c r="D54" s="8" t="s">
        <v>149</v>
      </c>
      <c r="E54" s="8" t="s">
        <v>102</v>
      </c>
      <c r="F54" s="8">
        <v>4</v>
      </c>
      <c r="G54" s="8">
        <v>0</v>
      </c>
      <c r="H54" s="8">
        <v>4</v>
      </c>
      <c r="I54" s="8" t="s">
        <v>55</v>
      </c>
      <c r="J54" s="8" t="s">
        <v>55</v>
      </c>
      <c r="K54" s="8" t="s">
        <v>55</v>
      </c>
      <c r="L54" s="8" t="s">
        <v>56</v>
      </c>
      <c r="M54" s="8" t="s">
        <v>28</v>
      </c>
      <c r="N54" s="8" t="s">
        <v>56</v>
      </c>
    </row>
    <row r="55" spans="1:14" x14ac:dyDescent="0.25">
      <c r="A55" s="8" t="s">
        <v>23</v>
      </c>
      <c r="B55" s="8" t="s">
        <v>148</v>
      </c>
      <c r="C55" s="8" t="s">
        <v>25</v>
      </c>
      <c r="D55" s="8" t="s">
        <v>150</v>
      </c>
      <c r="E55" s="8" t="s">
        <v>151</v>
      </c>
      <c r="F55" s="8">
        <v>4</v>
      </c>
      <c r="G55" s="8">
        <v>0</v>
      </c>
      <c r="H55" s="8">
        <v>4</v>
      </c>
      <c r="I55" s="8" t="s">
        <v>55</v>
      </c>
      <c r="J55" s="8" t="s">
        <v>55</v>
      </c>
      <c r="K55" s="8" t="s">
        <v>55</v>
      </c>
      <c r="L55" s="8" t="s">
        <v>56</v>
      </c>
      <c r="M55" s="8" t="s">
        <v>28</v>
      </c>
      <c r="N55" s="8" t="s">
        <v>56</v>
      </c>
    </row>
    <row r="56" spans="1:14" x14ac:dyDescent="0.25">
      <c r="A56" s="8" t="s">
        <v>23</v>
      </c>
      <c r="B56" s="8" t="s">
        <v>152</v>
      </c>
      <c r="C56" s="8" t="s">
        <v>25</v>
      </c>
      <c r="D56" s="8" t="s">
        <v>153</v>
      </c>
      <c r="E56" s="8" t="s">
        <v>154</v>
      </c>
      <c r="F56" s="8">
        <v>4</v>
      </c>
      <c r="G56" s="8">
        <v>0</v>
      </c>
      <c r="H56" s="8">
        <v>4</v>
      </c>
      <c r="I56" s="8" t="s">
        <v>55</v>
      </c>
      <c r="J56" s="8" t="s">
        <v>55</v>
      </c>
      <c r="K56" s="8" t="s">
        <v>55</v>
      </c>
      <c r="L56" s="8" t="s">
        <v>56</v>
      </c>
      <c r="M56" s="8" t="s">
        <v>28</v>
      </c>
      <c r="N56" s="8" t="s">
        <v>56</v>
      </c>
    </row>
    <row r="57" spans="1:14" x14ac:dyDescent="0.25">
      <c r="A57" s="8" t="s">
        <v>23</v>
      </c>
      <c r="B57" s="8" t="s">
        <v>152</v>
      </c>
      <c r="C57" s="8" t="s">
        <v>25</v>
      </c>
      <c r="D57" s="8" t="s">
        <v>155</v>
      </c>
      <c r="E57" s="8" t="s">
        <v>156</v>
      </c>
      <c r="F57" s="8">
        <v>4</v>
      </c>
      <c r="G57" s="8">
        <v>0</v>
      </c>
      <c r="H57" s="8">
        <v>4</v>
      </c>
      <c r="I57" s="8" t="s">
        <v>55</v>
      </c>
      <c r="J57" s="8" t="s">
        <v>55</v>
      </c>
      <c r="K57" s="8" t="s">
        <v>55</v>
      </c>
      <c r="L57" s="8" t="s">
        <v>56</v>
      </c>
      <c r="M57" s="8" t="s">
        <v>28</v>
      </c>
      <c r="N57" s="8" t="s">
        <v>56</v>
      </c>
    </row>
    <row r="58" spans="1:14" x14ac:dyDescent="0.25">
      <c r="A58" s="5" t="s">
        <v>23</v>
      </c>
      <c r="B58" s="5" t="s">
        <v>157</v>
      </c>
      <c r="C58" s="5" t="s">
        <v>75</v>
      </c>
      <c r="D58" s="5" t="s">
        <v>158</v>
      </c>
      <c r="E58" s="5" t="s">
        <v>159</v>
      </c>
      <c r="F58" s="5">
        <v>6</v>
      </c>
      <c r="G58" s="5">
        <v>1</v>
      </c>
      <c r="H58" s="5">
        <v>7</v>
      </c>
      <c r="I58" s="6">
        <v>0.8</v>
      </c>
      <c r="J58" s="6">
        <v>0.4</v>
      </c>
      <c r="K58" s="6">
        <f>Parametri!$B$6*I58+Parametri!$B$7*J58</f>
      </c>
      <c r="L58" s="5">
        <f>IF(K58&gt;=Parametri!$B$3,3,IF(K58&gt;=Parametri!$B$4,2,1))</f>
      </c>
      <c r="M58" s="5" t="s">
        <v>28</v>
      </c>
      <c r="N58" s="5" t="s">
        <v>29</v>
      </c>
    </row>
    <row r="59" spans="1:14" x14ac:dyDescent="0.25">
      <c r="A59" t="s">
        <v>23</v>
      </c>
      <c r="B59" t="s">
        <v>157</v>
      </c>
      <c r="C59" t="s">
        <v>75</v>
      </c>
      <c r="D59" t="s">
        <v>160</v>
      </c>
      <c r="E59" t="s">
        <v>161</v>
      </c>
      <c r="F59">
        <v>6</v>
      </c>
      <c r="G59">
        <v>2</v>
      </c>
      <c r="H59">
        <v>8</v>
      </c>
      <c r="I59" s="7">
        <v>0.8</v>
      </c>
      <c r="J59" s="7">
        <v>0.09999999999999998</v>
      </c>
      <c r="K59" s="7">
        <f>Parametri!$B$6*I59+Parametri!$B$7*J59</f>
      </c>
      <c r="L59">
        <f>IF(K59&gt;=Parametri!$B$3,3,IF(K59&gt;=Parametri!$B$4,2,1))</f>
      </c>
      <c r="M59" t="s">
        <v>28</v>
      </c>
      <c r="N59" t="s">
        <v>29</v>
      </c>
    </row>
    <row r="60" spans="1:14" x14ac:dyDescent="0.25">
      <c r="A60" s="5" t="s">
        <v>23</v>
      </c>
      <c r="B60" s="5" t="s">
        <v>157</v>
      </c>
      <c r="C60" s="5" t="s">
        <v>75</v>
      </c>
      <c r="D60" s="5" t="s">
        <v>162</v>
      </c>
      <c r="E60" s="5" t="s">
        <v>163</v>
      </c>
      <c r="F60" s="5">
        <v>5</v>
      </c>
      <c r="G60" s="5">
        <v>0</v>
      </c>
      <c r="H60" s="5">
        <v>5</v>
      </c>
      <c r="I60" s="6">
        <v>0.4</v>
      </c>
      <c r="J60" s="6">
        <v>0.9</v>
      </c>
      <c r="K60" s="6">
        <f>Parametri!$B$6*I60+Parametri!$B$7*J60</f>
      </c>
      <c r="L60" s="5">
        <f>IF(K60&gt;=Parametri!$B$3,3,IF(K60&gt;=Parametri!$B$4,2,1))</f>
      </c>
      <c r="M60" s="5" t="s">
        <v>28</v>
      </c>
      <c r="N60" s="5" t="s">
        <v>29</v>
      </c>
    </row>
    <row r="61" spans="1:14" x14ac:dyDescent="0.25">
      <c r="A61" t="s">
        <v>23</v>
      </c>
      <c r="B61" t="s">
        <v>157</v>
      </c>
      <c r="C61" t="s">
        <v>75</v>
      </c>
      <c r="D61" t="s">
        <v>164</v>
      </c>
      <c r="E61" t="s">
        <v>165</v>
      </c>
      <c r="F61">
        <v>5</v>
      </c>
      <c r="G61">
        <v>1</v>
      </c>
      <c r="H61">
        <v>6</v>
      </c>
      <c r="I61" s="7">
        <v>0.4</v>
      </c>
      <c r="J61" s="7">
        <v>0.4</v>
      </c>
      <c r="K61" s="7">
        <f>Parametri!$B$6*I61+Parametri!$B$7*J61</f>
      </c>
      <c r="L61">
        <f>IF(K61&gt;=Parametri!$B$3,3,IF(K61&gt;=Parametri!$B$4,2,1))</f>
      </c>
      <c r="M61" t="s">
        <v>28</v>
      </c>
      <c r="N61" t="s">
        <v>29</v>
      </c>
    </row>
    <row r="62" spans="1:14" x14ac:dyDescent="0.25">
      <c r="A62" s="5" t="s">
        <v>23</v>
      </c>
      <c r="B62" s="5" t="s">
        <v>157</v>
      </c>
      <c r="C62" s="5" t="s">
        <v>75</v>
      </c>
      <c r="D62" s="5" t="s">
        <v>166</v>
      </c>
      <c r="E62" s="5" t="s">
        <v>167</v>
      </c>
      <c r="F62" s="5">
        <v>5</v>
      </c>
      <c r="G62" s="5">
        <v>1</v>
      </c>
      <c r="H62" s="5">
        <v>6</v>
      </c>
      <c r="I62" s="6">
        <v>0.4</v>
      </c>
      <c r="J62" s="6">
        <v>0.4</v>
      </c>
      <c r="K62" s="6">
        <f>Parametri!$B$6*I62+Parametri!$B$7*J62</f>
      </c>
      <c r="L62" s="5">
        <f>IF(K62&gt;=Parametri!$B$3,3,IF(K62&gt;=Parametri!$B$4,2,1))</f>
      </c>
      <c r="M62" s="5" t="s">
        <v>28</v>
      </c>
      <c r="N62" s="5" t="s">
        <v>29</v>
      </c>
    </row>
    <row r="63" spans="1:14" x14ac:dyDescent="0.25">
      <c r="A63" t="s">
        <v>23</v>
      </c>
      <c r="B63" t="s">
        <v>157</v>
      </c>
      <c r="C63" t="s">
        <v>75</v>
      </c>
      <c r="D63" t="s">
        <v>168</v>
      </c>
      <c r="E63" t="s">
        <v>169</v>
      </c>
      <c r="F63">
        <v>6</v>
      </c>
      <c r="G63">
        <v>1</v>
      </c>
      <c r="H63">
        <v>7</v>
      </c>
      <c r="I63" s="7">
        <v>0.8</v>
      </c>
      <c r="J63" s="7">
        <v>0.4</v>
      </c>
      <c r="K63" s="7">
        <f>Parametri!$B$6*I63+Parametri!$B$7*J63</f>
      </c>
      <c r="L63">
        <f>IF(K63&gt;=Parametri!$B$3,3,IF(K63&gt;=Parametri!$B$4,2,1))</f>
      </c>
      <c r="M63" t="s">
        <v>28</v>
      </c>
      <c r="N63" t="s">
        <v>29</v>
      </c>
    </row>
    <row r="64" spans="1:14" x14ac:dyDescent="0.25">
      <c r="A64" s="5" t="s">
        <v>23</v>
      </c>
      <c r="B64" s="5" t="s">
        <v>157</v>
      </c>
      <c r="C64" s="5" t="s">
        <v>75</v>
      </c>
      <c r="D64" s="5" t="s">
        <v>170</v>
      </c>
      <c r="E64" s="5" t="s">
        <v>171</v>
      </c>
      <c r="F64" s="5">
        <v>6</v>
      </c>
      <c r="G64" s="5">
        <v>2</v>
      </c>
      <c r="H64" s="5">
        <v>8</v>
      </c>
      <c r="I64" s="6">
        <v>0.8</v>
      </c>
      <c r="J64" s="6">
        <v>0.09999999999999998</v>
      </c>
      <c r="K64" s="6">
        <f>Parametri!$B$6*I64+Parametri!$B$7*J64</f>
      </c>
      <c r="L64" s="5">
        <f>IF(K64&gt;=Parametri!$B$3,3,IF(K64&gt;=Parametri!$B$4,2,1))</f>
      </c>
      <c r="M64" s="5" t="s">
        <v>28</v>
      </c>
      <c r="N64" s="5" t="s">
        <v>29</v>
      </c>
    </row>
    <row r="65" spans="1:14" x14ac:dyDescent="0.25">
      <c r="A65" t="s">
        <v>23</v>
      </c>
      <c r="B65" t="s">
        <v>157</v>
      </c>
      <c r="C65" t="s">
        <v>75</v>
      </c>
      <c r="D65" t="s">
        <v>172</v>
      </c>
      <c r="E65" t="s">
        <v>173</v>
      </c>
      <c r="F65">
        <v>5</v>
      </c>
      <c r="G65">
        <v>3</v>
      </c>
      <c r="H65">
        <v>8</v>
      </c>
      <c r="I65" s="7">
        <v>0.4</v>
      </c>
      <c r="J65" s="7">
        <v>0</v>
      </c>
      <c r="K65" s="7">
        <f>Parametri!$B$6*I65+Parametri!$B$7*J65</f>
      </c>
      <c r="L65">
        <f>IF(K65&gt;=Parametri!$B$3,3,IF(K65&gt;=Parametri!$B$4,2,1))</f>
      </c>
      <c r="M65" t="s">
        <v>28</v>
      </c>
      <c r="N65" t="s">
        <v>29</v>
      </c>
    </row>
    <row r="66" spans="1:14" x14ac:dyDescent="0.25">
      <c r="A66" s="5" t="s">
        <v>23</v>
      </c>
      <c r="B66" s="5" t="s">
        <v>157</v>
      </c>
      <c r="C66" s="5" t="s">
        <v>75</v>
      </c>
      <c r="D66" s="5" t="s">
        <v>174</v>
      </c>
      <c r="E66" s="5" t="s">
        <v>175</v>
      </c>
      <c r="F66" s="5">
        <v>5</v>
      </c>
      <c r="G66" s="5">
        <v>2</v>
      </c>
      <c r="H66" s="5">
        <v>7</v>
      </c>
      <c r="I66" s="6">
        <v>0.4</v>
      </c>
      <c r="J66" s="6">
        <v>0.09999999999999998</v>
      </c>
      <c r="K66" s="6">
        <f>Parametri!$B$6*I66+Parametri!$B$7*J66</f>
      </c>
      <c r="L66" s="5">
        <f>IF(K66&gt;=Parametri!$B$3,3,IF(K66&gt;=Parametri!$B$4,2,1))</f>
      </c>
      <c r="M66" s="5" t="s">
        <v>28</v>
      </c>
      <c r="N66" s="5" t="s">
        <v>29</v>
      </c>
    </row>
    <row r="67" spans="1:14" x14ac:dyDescent="0.25">
      <c r="A67" t="s">
        <v>23</v>
      </c>
      <c r="B67" t="s">
        <v>157</v>
      </c>
      <c r="C67" t="s">
        <v>75</v>
      </c>
      <c r="D67" t="s">
        <v>176</v>
      </c>
      <c r="E67" t="s">
        <v>177</v>
      </c>
      <c r="F67">
        <v>7</v>
      </c>
      <c r="G67">
        <v>1</v>
      </c>
      <c r="H67">
        <v>8</v>
      </c>
      <c r="I67" s="7">
        <v>0.9</v>
      </c>
      <c r="J67" s="7">
        <v>0.4</v>
      </c>
      <c r="K67" s="7">
        <f>Parametri!$B$6*I67+Parametri!$B$7*J67</f>
      </c>
      <c r="L67">
        <f>IF(K67&gt;=Parametri!$B$3,3,IF(K67&gt;=Parametri!$B$4,2,1))</f>
      </c>
      <c r="M67" t="s">
        <v>28</v>
      </c>
      <c r="N67" t="s">
        <v>29</v>
      </c>
    </row>
    <row r="68" spans="1:14" x14ac:dyDescent="0.25">
      <c r="A68" s="5" t="s">
        <v>23</v>
      </c>
      <c r="B68" s="5" t="s">
        <v>157</v>
      </c>
      <c r="C68" s="5" t="s">
        <v>75</v>
      </c>
      <c r="D68" s="5" t="s">
        <v>178</v>
      </c>
      <c r="E68" s="5" t="s">
        <v>179</v>
      </c>
      <c r="F68" s="5">
        <v>9</v>
      </c>
      <c r="G68" s="5">
        <v>0</v>
      </c>
      <c r="H68" s="5">
        <v>9</v>
      </c>
      <c r="I68" s="6">
        <v>1</v>
      </c>
      <c r="J68" s="6">
        <v>0.9</v>
      </c>
      <c r="K68" s="6">
        <f>Parametri!$B$6*I68+Parametri!$B$7*J68</f>
      </c>
      <c r="L68" s="5">
        <f>IF(K68&gt;=Parametri!$B$3,3,IF(K68&gt;=Parametri!$B$4,2,1))</f>
      </c>
      <c r="M68" s="5" t="s">
        <v>28</v>
      </c>
      <c r="N68" s="5" t="s">
        <v>29</v>
      </c>
    </row>
    <row r="69" spans="1:14" x14ac:dyDescent="0.25">
      <c r="A69" s="8" t="s">
        <v>23</v>
      </c>
      <c r="B69" s="8" t="s">
        <v>157</v>
      </c>
      <c r="C69" s="8" t="s">
        <v>75</v>
      </c>
      <c r="D69" s="8" t="s">
        <v>180</v>
      </c>
      <c r="E69" s="8" t="s">
        <v>181</v>
      </c>
      <c r="F69" s="8">
        <v>2</v>
      </c>
      <c r="G69" s="8">
        <v>1</v>
      </c>
      <c r="H69" s="8">
        <v>3</v>
      </c>
      <c r="I69" s="8" t="s">
        <v>55</v>
      </c>
      <c r="J69" s="8" t="s">
        <v>55</v>
      </c>
      <c r="K69" s="8" t="s">
        <v>55</v>
      </c>
      <c r="L69" s="8" t="s">
        <v>56</v>
      </c>
      <c r="M69" s="8" t="s">
        <v>28</v>
      </c>
      <c r="N69" s="8" t="s">
        <v>56</v>
      </c>
    </row>
    <row r="70" spans="1:14" x14ac:dyDescent="0.25">
      <c r="A70" s="8" t="s">
        <v>23</v>
      </c>
      <c r="B70" s="8" t="s">
        <v>182</v>
      </c>
      <c r="C70" s="8" t="s">
        <v>25</v>
      </c>
      <c r="D70" s="8" t="s">
        <v>183</v>
      </c>
      <c r="E70" s="8" t="s">
        <v>184</v>
      </c>
      <c r="F70" s="8">
        <v>4</v>
      </c>
      <c r="G70" s="8">
        <v>0</v>
      </c>
      <c r="H70" s="8">
        <v>4</v>
      </c>
      <c r="I70" s="8" t="s">
        <v>55</v>
      </c>
      <c r="J70" s="8" t="s">
        <v>55</v>
      </c>
      <c r="K70" s="8" t="s">
        <v>55</v>
      </c>
      <c r="L70" s="8" t="s">
        <v>56</v>
      </c>
      <c r="M70" s="8" t="s">
        <v>28</v>
      </c>
      <c r="N70" s="8" t="s">
        <v>56</v>
      </c>
    </row>
    <row r="71" spans="1:14" x14ac:dyDescent="0.25">
      <c r="A71" s="8" t="s">
        <v>23</v>
      </c>
      <c r="B71" s="8" t="s">
        <v>182</v>
      </c>
      <c r="C71" s="8" t="s">
        <v>25</v>
      </c>
      <c r="D71" s="8" t="s">
        <v>185</v>
      </c>
      <c r="E71" s="8" t="s">
        <v>186</v>
      </c>
      <c r="F71" s="8">
        <v>3</v>
      </c>
      <c r="G71" s="8">
        <v>1</v>
      </c>
      <c r="H71" s="8">
        <v>4</v>
      </c>
      <c r="I71" s="8" t="s">
        <v>55</v>
      </c>
      <c r="J71" s="8" t="s">
        <v>55</v>
      </c>
      <c r="K71" s="8" t="s">
        <v>55</v>
      </c>
      <c r="L71" s="8" t="s">
        <v>56</v>
      </c>
      <c r="M71" s="8" t="s">
        <v>28</v>
      </c>
      <c r="N71" s="8" t="s">
        <v>56</v>
      </c>
    </row>
    <row r="72" spans="1:14" x14ac:dyDescent="0.25">
      <c r="A72" s="5" t="s">
        <v>23</v>
      </c>
      <c r="B72" s="5" t="s">
        <v>187</v>
      </c>
      <c r="C72" s="5" t="s">
        <v>25</v>
      </c>
      <c r="D72" s="5" t="s">
        <v>188</v>
      </c>
      <c r="E72" s="5" t="s">
        <v>189</v>
      </c>
      <c r="F72" s="5">
        <v>9</v>
      </c>
      <c r="G72" s="5">
        <v>0</v>
      </c>
      <c r="H72" s="5">
        <v>9</v>
      </c>
      <c r="I72" s="6">
        <v>0.8387096774193549</v>
      </c>
      <c r="J72" s="6">
        <v>0.19354838709677424</v>
      </c>
      <c r="K72" s="6">
        <f>Parametri!$B$6*I72+Parametri!$B$7*J72</f>
      </c>
      <c r="L72" s="5">
        <f>IF(K72&gt;=Parametri!$B$3,3,IF(K72&gt;=Parametri!$B$4,2,1))</f>
      </c>
      <c r="M72" s="5" t="s">
        <v>28</v>
      </c>
      <c r="N72" s="5" t="s">
        <v>29</v>
      </c>
    </row>
    <row r="73" spans="1:14" x14ac:dyDescent="0.25">
      <c r="A73" t="s">
        <v>23</v>
      </c>
      <c r="B73" t="s">
        <v>187</v>
      </c>
      <c r="C73" t="s">
        <v>25</v>
      </c>
      <c r="D73" t="s">
        <v>190</v>
      </c>
      <c r="E73" t="s">
        <v>191</v>
      </c>
      <c r="F73">
        <v>10</v>
      </c>
      <c r="G73">
        <v>0</v>
      </c>
      <c r="H73">
        <v>10</v>
      </c>
      <c r="I73" s="7">
        <v>1</v>
      </c>
      <c r="J73" s="7">
        <v>0.19354838709677424</v>
      </c>
      <c r="K73" s="7">
        <f>Parametri!$B$6*I73+Parametri!$B$7*J73</f>
      </c>
      <c r="L73">
        <f>IF(K73&gt;=Parametri!$B$3,3,IF(K73&gt;=Parametri!$B$4,2,1))</f>
      </c>
      <c r="M73" t="s">
        <v>28</v>
      </c>
      <c r="N73" t="s">
        <v>29</v>
      </c>
    </row>
    <row r="74" spans="1:14" x14ac:dyDescent="0.25">
      <c r="A74" s="5" t="s">
        <v>23</v>
      </c>
      <c r="B74" s="5" t="s">
        <v>187</v>
      </c>
      <c r="C74" s="5" t="s">
        <v>25</v>
      </c>
      <c r="D74" s="5" t="s">
        <v>192</v>
      </c>
      <c r="E74" s="5" t="s">
        <v>193</v>
      </c>
      <c r="F74" s="5">
        <v>9</v>
      </c>
      <c r="G74" s="5">
        <v>0</v>
      </c>
      <c r="H74" s="5">
        <v>9</v>
      </c>
      <c r="I74" s="6">
        <v>0.8387096774193549</v>
      </c>
      <c r="J74" s="6">
        <v>0.19354838709677424</v>
      </c>
      <c r="K74" s="6">
        <f>Parametri!$B$6*I74+Parametri!$B$7*J74</f>
      </c>
      <c r="L74" s="5">
        <f>IF(K74&gt;=Parametri!$B$3,3,IF(K74&gt;=Parametri!$B$4,2,1))</f>
      </c>
      <c r="M74" s="5" t="s">
        <v>28</v>
      </c>
      <c r="N74" s="5" t="s">
        <v>29</v>
      </c>
    </row>
    <row r="75" spans="1:14" x14ac:dyDescent="0.25">
      <c r="A75" t="s">
        <v>23</v>
      </c>
      <c r="B75" t="s">
        <v>187</v>
      </c>
      <c r="C75" t="s">
        <v>25</v>
      </c>
      <c r="D75" t="s">
        <v>194</v>
      </c>
      <c r="E75" t="s">
        <v>195</v>
      </c>
      <c r="F75">
        <v>8</v>
      </c>
      <c r="G75">
        <v>1</v>
      </c>
      <c r="H75">
        <v>9</v>
      </c>
      <c r="I75" s="7">
        <v>0.1935483870967742</v>
      </c>
      <c r="J75" s="7">
        <v>0</v>
      </c>
      <c r="K75" s="7">
        <f>Parametri!$B$6*I75+Parametri!$B$7*J75</f>
      </c>
      <c r="L75">
        <f>IF(K75&gt;=Parametri!$B$3,3,IF(K75&gt;=Parametri!$B$4,2,1))</f>
      </c>
      <c r="M75" t="s">
        <v>28</v>
      </c>
      <c r="N75" t="s">
        <v>29</v>
      </c>
    </row>
    <row r="76" spans="1:14" x14ac:dyDescent="0.25">
      <c r="A76" s="5" t="s">
        <v>23</v>
      </c>
      <c r="B76" s="5" t="s">
        <v>187</v>
      </c>
      <c r="C76" s="5" t="s">
        <v>25</v>
      </c>
      <c r="D76" s="5" t="s">
        <v>196</v>
      </c>
      <c r="E76" s="5" t="s">
        <v>197</v>
      </c>
      <c r="F76" s="5">
        <v>10</v>
      </c>
      <c r="G76" s="5">
        <v>0</v>
      </c>
      <c r="H76" s="5">
        <v>10</v>
      </c>
      <c r="I76" s="6">
        <v>1</v>
      </c>
      <c r="J76" s="6">
        <v>0.19354838709677424</v>
      </c>
      <c r="K76" s="6">
        <f>Parametri!$B$6*I76+Parametri!$B$7*J76</f>
      </c>
      <c r="L76" s="5">
        <f>IF(K76&gt;=Parametri!$B$3,3,IF(K76&gt;=Parametri!$B$4,2,1))</f>
      </c>
      <c r="M76" s="5" t="s">
        <v>28</v>
      </c>
      <c r="N76" s="5" t="s">
        <v>29</v>
      </c>
    </row>
    <row r="77" spans="1:14" x14ac:dyDescent="0.25">
      <c r="A77" t="s">
        <v>23</v>
      </c>
      <c r="B77" t="s">
        <v>187</v>
      </c>
      <c r="C77" t="s">
        <v>25</v>
      </c>
      <c r="D77" t="s">
        <v>198</v>
      </c>
      <c r="E77" t="s">
        <v>199</v>
      </c>
      <c r="F77">
        <v>9</v>
      </c>
      <c r="G77">
        <v>1</v>
      </c>
      <c r="H77">
        <v>10</v>
      </c>
      <c r="I77" s="7">
        <v>0.8387096774193549</v>
      </c>
      <c r="J77" s="7">
        <v>0</v>
      </c>
      <c r="K77" s="7">
        <f>Parametri!$B$6*I77+Parametri!$B$7*J77</f>
      </c>
      <c r="L77">
        <f>IF(K77&gt;=Parametri!$B$3,3,IF(K77&gt;=Parametri!$B$4,2,1))</f>
      </c>
      <c r="M77" t="s">
        <v>28</v>
      </c>
      <c r="N77" t="s">
        <v>29</v>
      </c>
    </row>
    <row r="78" spans="1:14" x14ac:dyDescent="0.25">
      <c r="A78" s="5" t="s">
        <v>23</v>
      </c>
      <c r="B78" s="5" t="s">
        <v>187</v>
      </c>
      <c r="C78" s="5" t="s">
        <v>25</v>
      </c>
      <c r="D78" s="5" t="s">
        <v>200</v>
      </c>
      <c r="E78" s="5" t="s">
        <v>201</v>
      </c>
      <c r="F78" s="5">
        <v>8</v>
      </c>
      <c r="G78" s="5">
        <v>0</v>
      </c>
      <c r="H78" s="5">
        <v>8</v>
      </c>
      <c r="I78" s="6">
        <v>0.1935483870967742</v>
      </c>
      <c r="J78" s="6">
        <v>0.19354838709677424</v>
      </c>
      <c r="K78" s="6">
        <f>Parametri!$B$6*I78+Parametri!$B$7*J78</f>
      </c>
      <c r="L78" s="5">
        <f>IF(K78&gt;=Parametri!$B$3,3,IF(K78&gt;=Parametri!$B$4,2,1))</f>
      </c>
      <c r="M78" s="5" t="s">
        <v>28</v>
      </c>
      <c r="N78" s="5" t="s">
        <v>29</v>
      </c>
    </row>
    <row r="79" spans="1:14" x14ac:dyDescent="0.25">
      <c r="A79" t="s">
        <v>23</v>
      </c>
      <c r="B79" t="s">
        <v>187</v>
      </c>
      <c r="C79" t="s">
        <v>25</v>
      </c>
      <c r="D79" t="s">
        <v>202</v>
      </c>
      <c r="E79" t="s">
        <v>203</v>
      </c>
      <c r="F79">
        <v>9</v>
      </c>
      <c r="G79">
        <v>0</v>
      </c>
      <c r="H79">
        <v>9</v>
      </c>
      <c r="I79" s="7">
        <v>0.8387096774193549</v>
      </c>
      <c r="J79" s="7">
        <v>0.19354838709677424</v>
      </c>
      <c r="K79" s="7">
        <f>Parametri!$B$6*I79+Parametri!$B$7*J79</f>
      </c>
      <c r="L79">
        <f>IF(K79&gt;=Parametri!$B$3,3,IF(K79&gt;=Parametri!$B$4,2,1))</f>
      </c>
      <c r="M79" t="s">
        <v>28</v>
      </c>
      <c r="N79" t="s">
        <v>29</v>
      </c>
    </row>
    <row r="80" spans="1:14" x14ac:dyDescent="0.25">
      <c r="A80" s="5" t="s">
        <v>23</v>
      </c>
      <c r="B80" s="5" t="s">
        <v>187</v>
      </c>
      <c r="C80" s="5" t="s">
        <v>25</v>
      </c>
      <c r="D80" s="5" t="s">
        <v>204</v>
      </c>
      <c r="E80" s="5" t="s">
        <v>205</v>
      </c>
      <c r="F80" s="5">
        <v>9</v>
      </c>
      <c r="G80" s="5">
        <v>0</v>
      </c>
      <c r="H80" s="5">
        <v>9</v>
      </c>
      <c r="I80" s="6">
        <v>0.8387096774193549</v>
      </c>
      <c r="J80" s="6">
        <v>0.19354838709677424</v>
      </c>
      <c r="K80" s="6">
        <f>Parametri!$B$6*I80+Parametri!$B$7*J80</f>
      </c>
      <c r="L80" s="5">
        <f>IF(K80&gt;=Parametri!$B$3,3,IF(K80&gt;=Parametri!$B$4,2,1))</f>
      </c>
      <c r="M80" s="5" t="s">
        <v>28</v>
      </c>
      <c r="N80" s="5" t="s">
        <v>29</v>
      </c>
    </row>
    <row r="81" spans="1:14" x14ac:dyDescent="0.25">
      <c r="A81" t="s">
        <v>23</v>
      </c>
      <c r="B81" t="s">
        <v>187</v>
      </c>
      <c r="C81" t="s">
        <v>25</v>
      </c>
      <c r="D81" t="s">
        <v>206</v>
      </c>
      <c r="E81" t="s">
        <v>207</v>
      </c>
      <c r="F81">
        <v>9</v>
      </c>
      <c r="G81">
        <v>0</v>
      </c>
      <c r="H81">
        <v>9</v>
      </c>
      <c r="I81" s="7">
        <v>0.8387096774193549</v>
      </c>
      <c r="J81" s="7">
        <v>0.19354838709677424</v>
      </c>
      <c r="K81" s="7">
        <f>Parametri!$B$6*I81+Parametri!$B$7*J81</f>
      </c>
      <c r="L81">
        <f>IF(K81&gt;=Parametri!$B$3,3,IF(K81&gt;=Parametri!$B$4,2,1))</f>
      </c>
      <c r="M81" t="s">
        <v>28</v>
      </c>
      <c r="N81" t="s">
        <v>29</v>
      </c>
    </row>
    <row r="82" spans="1:14" x14ac:dyDescent="0.25">
      <c r="A82" s="5" t="s">
        <v>23</v>
      </c>
      <c r="B82" s="5" t="s">
        <v>187</v>
      </c>
      <c r="C82" s="5" t="s">
        <v>25</v>
      </c>
      <c r="D82" s="5" t="s">
        <v>208</v>
      </c>
      <c r="E82" s="5" t="s">
        <v>209</v>
      </c>
      <c r="F82" s="5">
        <v>9</v>
      </c>
      <c r="G82" s="5">
        <v>0</v>
      </c>
      <c r="H82" s="5">
        <v>9</v>
      </c>
      <c r="I82" s="6">
        <v>0.8387096774193549</v>
      </c>
      <c r="J82" s="6">
        <v>0.19354838709677424</v>
      </c>
      <c r="K82" s="6">
        <f>Parametri!$B$6*I82+Parametri!$B$7*J82</f>
      </c>
      <c r="L82" s="5">
        <f>IF(K82&gt;=Parametri!$B$3,3,IF(K82&gt;=Parametri!$B$4,2,1))</f>
      </c>
      <c r="M82" s="5" t="s">
        <v>28</v>
      </c>
      <c r="N82" s="5" t="s">
        <v>29</v>
      </c>
    </row>
    <row r="83" spans="1:14" x14ac:dyDescent="0.25">
      <c r="A83" t="s">
        <v>23</v>
      </c>
      <c r="B83" t="s">
        <v>187</v>
      </c>
      <c r="C83" t="s">
        <v>25</v>
      </c>
      <c r="D83" t="s">
        <v>210</v>
      </c>
      <c r="E83" t="s">
        <v>211</v>
      </c>
      <c r="F83">
        <v>8</v>
      </c>
      <c r="G83">
        <v>0</v>
      </c>
      <c r="H83">
        <v>8</v>
      </c>
      <c r="I83" s="7">
        <v>0.1935483870967742</v>
      </c>
      <c r="J83" s="7">
        <v>0.19354838709677424</v>
      </c>
      <c r="K83" s="7">
        <f>Parametri!$B$6*I83+Parametri!$B$7*J83</f>
      </c>
      <c r="L83">
        <f>IF(K83&gt;=Parametri!$B$3,3,IF(K83&gt;=Parametri!$B$4,2,1))</f>
      </c>
      <c r="M83" t="s">
        <v>28</v>
      </c>
      <c r="N83" t="s">
        <v>29</v>
      </c>
    </row>
    <row r="84" spans="1:14" x14ac:dyDescent="0.25">
      <c r="A84" s="5" t="s">
        <v>23</v>
      </c>
      <c r="B84" s="5" t="s">
        <v>187</v>
      </c>
      <c r="C84" s="5" t="s">
        <v>25</v>
      </c>
      <c r="D84" s="5" t="s">
        <v>212</v>
      </c>
      <c r="E84" s="5" t="s">
        <v>213</v>
      </c>
      <c r="F84" s="5">
        <v>9</v>
      </c>
      <c r="G84" s="5">
        <v>0</v>
      </c>
      <c r="H84" s="5">
        <v>9</v>
      </c>
      <c r="I84" s="6">
        <v>0.8387096774193549</v>
      </c>
      <c r="J84" s="6">
        <v>0.19354838709677424</v>
      </c>
      <c r="K84" s="6">
        <f>Parametri!$B$6*I84+Parametri!$B$7*J84</f>
      </c>
      <c r="L84" s="5">
        <f>IF(K84&gt;=Parametri!$B$3,3,IF(K84&gt;=Parametri!$B$4,2,1))</f>
      </c>
      <c r="M84" s="5" t="s">
        <v>28</v>
      </c>
      <c r="N84" s="5" t="s">
        <v>29</v>
      </c>
    </row>
    <row r="85" spans="1:14" x14ac:dyDescent="0.25">
      <c r="A85" t="s">
        <v>23</v>
      </c>
      <c r="B85" t="s">
        <v>187</v>
      </c>
      <c r="C85" t="s">
        <v>25</v>
      </c>
      <c r="D85" t="s">
        <v>214</v>
      </c>
      <c r="E85" t="s">
        <v>215</v>
      </c>
      <c r="F85">
        <v>9</v>
      </c>
      <c r="G85">
        <v>0</v>
      </c>
      <c r="H85">
        <v>9</v>
      </c>
      <c r="I85" s="7">
        <v>0.8387096774193549</v>
      </c>
      <c r="J85" s="7">
        <v>0.19354838709677424</v>
      </c>
      <c r="K85" s="7">
        <f>Parametri!$B$6*I85+Parametri!$B$7*J85</f>
      </c>
      <c r="L85">
        <f>IF(K85&gt;=Parametri!$B$3,3,IF(K85&gt;=Parametri!$B$4,2,1))</f>
      </c>
      <c r="M85" t="s">
        <v>28</v>
      </c>
      <c r="N85" t="s">
        <v>29</v>
      </c>
    </row>
    <row r="86" spans="1:14" x14ac:dyDescent="0.25">
      <c r="A86" s="5" t="s">
        <v>23</v>
      </c>
      <c r="B86" s="5" t="s">
        <v>187</v>
      </c>
      <c r="C86" s="5" t="s">
        <v>25</v>
      </c>
      <c r="D86" s="5" t="s">
        <v>216</v>
      </c>
      <c r="E86" s="5" t="s">
        <v>217</v>
      </c>
      <c r="F86" s="5">
        <v>8</v>
      </c>
      <c r="G86" s="5">
        <v>0</v>
      </c>
      <c r="H86" s="5">
        <v>8</v>
      </c>
      <c r="I86" s="6">
        <v>0.1935483870967742</v>
      </c>
      <c r="J86" s="6">
        <v>0.19354838709677424</v>
      </c>
      <c r="K86" s="6">
        <f>Parametri!$B$6*I86+Parametri!$B$7*J86</f>
      </c>
      <c r="L86" s="5">
        <f>IF(K86&gt;=Parametri!$B$3,3,IF(K86&gt;=Parametri!$B$4,2,1))</f>
      </c>
      <c r="M86" s="5" t="s">
        <v>28</v>
      </c>
      <c r="N86" s="5" t="s">
        <v>29</v>
      </c>
    </row>
    <row r="87" spans="1:14" x14ac:dyDescent="0.25">
      <c r="A87" t="s">
        <v>23</v>
      </c>
      <c r="B87" t="s">
        <v>187</v>
      </c>
      <c r="C87" t="s">
        <v>25</v>
      </c>
      <c r="D87" t="s">
        <v>218</v>
      </c>
      <c r="E87" t="s">
        <v>219</v>
      </c>
      <c r="F87">
        <v>9</v>
      </c>
      <c r="G87">
        <v>0</v>
      </c>
      <c r="H87">
        <v>9</v>
      </c>
      <c r="I87" s="7">
        <v>0.8387096774193549</v>
      </c>
      <c r="J87" s="7">
        <v>0.19354838709677424</v>
      </c>
      <c r="K87" s="7">
        <f>Parametri!$B$6*I87+Parametri!$B$7*J87</f>
      </c>
      <c r="L87">
        <f>IF(K87&gt;=Parametri!$B$3,3,IF(K87&gt;=Parametri!$B$4,2,1))</f>
      </c>
      <c r="M87" t="s">
        <v>28</v>
      </c>
      <c r="N87" t="s">
        <v>29</v>
      </c>
    </row>
    <row r="88" spans="1:14" x14ac:dyDescent="0.25">
      <c r="A88" s="5" t="s">
        <v>23</v>
      </c>
      <c r="B88" s="5" t="s">
        <v>187</v>
      </c>
      <c r="C88" s="5" t="s">
        <v>25</v>
      </c>
      <c r="D88" s="5" t="s">
        <v>220</v>
      </c>
      <c r="E88" s="5" t="s">
        <v>221</v>
      </c>
      <c r="F88" s="5">
        <v>9</v>
      </c>
      <c r="G88" s="5">
        <v>0</v>
      </c>
      <c r="H88" s="5">
        <v>9</v>
      </c>
      <c r="I88" s="6">
        <v>0.8387096774193549</v>
      </c>
      <c r="J88" s="6">
        <v>0.19354838709677424</v>
      </c>
      <c r="K88" s="6">
        <f>Parametri!$B$6*I88+Parametri!$B$7*J88</f>
      </c>
      <c r="L88" s="5">
        <f>IF(K88&gt;=Parametri!$B$3,3,IF(K88&gt;=Parametri!$B$4,2,1))</f>
      </c>
      <c r="M88" s="5" t="s">
        <v>28</v>
      </c>
      <c r="N88" s="5" t="s">
        <v>29</v>
      </c>
    </row>
    <row r="89" spans="1:14" x14ac:dyDescent="0.25">
      <c r="A89" t="s">
        <v>23</v>
      </c>
      <c r="B89" t="s">
        <v>187</v>
      </c>
      <c r="C89" t="s">
        <v>25</v>
      </c>
      <c r="D89" t="s">
        <v>222</v>
      </c>
      <c r="E89" t="s">
        <v>223</v>
      </c>
      <c r="F89">
        <v>9</v>
      </c>
      <c r="G89">
        <v>1</v>
      </c>
      <c r="H89">
        <v>10</v>
      </c>
      <c r="I89" s="7">
        <v>0.8387096774193549</v>
      </c>
      <c r="J89" s="7">
        <v>0</v>
      </c>
      <c r="K89" s="7">
        <f>Parametri!$B$6*I89+Parametri!$B$7*J89</f>
      </c>
      <c r="L89">
        <f>IF(K89&gt;=Parametri!$B$3,3,IF(K89&gt;=Parametri!$B$4,2,1))</f>
      </c>
      <c r="M89" t="s">
        <v>28</v>
      </c>
      <c r="N89" t="s">
        <v>29</v>
      </c>
    </row>
    <row r="90" spans="1:14" x14ac:dyDescent="0.25">
      <c r="A90" s="5" t="s">
        <v>23</v>
      </c>
      <c r="B90" s="5" t="s">
        <v>187</v>
      </c>
      <c r="C90" s="5" t="s">
        <v>25</v>
      </c>
      <c r="D90" s="5" t="s">
        <v>224</v>
      </c>
      <c r="E90" s="5" t="s">
        <v>225</v>
      </c>
      <c r="F90" s="5">
        <v>8</v>
      </c>
      <c r="G90" s="5">
        <v>0</v>
      </c>
      <c r="H90" s="5">
        <v>8</v>
      </c>
      <c r="I90" s="6">
        <v>0.1935483870967742</v>
      </c>
      <c r="J90" s="6">
        <v>0.19354838709677424</v>
      </c>
      <c r="K90" s="6">
        <f>Parametri!$B$6*I90+Parametri!$B$7*J90</f>
      </c>
      <c r="L90" s="5">
        <f>IF(K90&gt;=Parametri!$B$3,3,IF(K90&gt;=Parametri!$B$4,2,1))</f>
      </c>
      <c r="M90" s="5" t="s">
        <v>28</v>
      </c>
      <c r="N90" s="5" t="s">
        <v>29</v>
      </c>
    </row>
    <row r="91" spans="1:14" x14ac:dyDescent="0.25">
      <c r="A91" t="s">
        <v>23</v>
      </c>
      <c r="B91" t="s">
        <v>187</v>
      </c>
      <c r="C91" t="s">
        <v>25</v>
      </c>
      <c r="D91" t="s">
        <v>226</v>
      </c>
      <c r="E91" t="s">
        <v>227</v>
      </c>
      <c r="F91">
        <v>10</v>
      </c>
      <c r="G91">
        <v>0</v>
      </c>
      <c r="H91">
        <v>10</v>
      </c>
      <c r="I91" s="7">
        <v>1</v>
      </c>
      <c r="J91" s="7">
        <v>0.19354838709677424</v>
      </c>
      <c r="K91" s="7">
        <f>Parametri!$B$6*I91+Parametri!$B$7*J91</f>
      </c>
      <c r="L91">
        <f>IF(K91&gt;=Parametri!$B$3,3,IF(K91&gt;=Parametri!$B$4,2,1))</f>
      </c>
      <c r="M91" t="s">
        <v>28</v>
      </c>
      <c r="N91" t="s">
        <v>29</v>
      </c>
    </row>
    <row r="92" spans="1:14" x14ac:dyDescent="0.25">
      <c r="A92" s="5" t="s">
        <v>23</v>
      </c>
      <c r="B92" s="5" t="s">
        <v>187</v>
      </c>
      <c r="C92" s="5" t="s">
        <v>25</v>
      </c>
      <c r="D92" s="5" t="s">
        <v>228</v>
      </c>
      <c r="E92" s="5" t="s">
        <v>229</v>
      </c>
      <c r="F92" s="5">
        <v>9</v>
      </c>
      <c r="G92" s="5">
        <v>1</v>
      </c>
      <c r="H92" s="5">
        <v>10</v>
      </c>
      <c r="I92" s="6">
        <v>0.8387096774193549</v>
      </c>
      <c r="J92" s="6">
        <v>0</v>
      </c>
      <c r="K92" s="6">
        <f>Parametri!$B$6*I92+Parametri!$B$7*J92</f>
      </c>
      <c r="L92" s="5">
        <f>IF(K92&gt;=Parametri!$B$3,3,IF(K92&gt;=Parametri!$B$4,2,1))</f>
      </c>
      <c r="M92" s="5" t="s">
        <v>28</v>
      </c>
      <c r="N92" s="5" t="s">
        <v>29</v>
      </c>
    </row>
    <row r="93" spans="1:14" x14ac:dyDescent="0.25">
      <c r="A93" t="s">
        <v>23</v>
      </c>
      <c r="B93" t="s">
        <v>187</v>
      </c>
      <c r="C93" t="s">
        <v>25</v>
      </c>
      <c r="D93" t="s">
        <v>230</v>
      </c>
      <c r="E93" t="s">
        <v>231</v>
      </c>
      <c r="F93">
        <v>9</v>
      </c>
      <c r="G93">
        <v>0</v>
      </c>
      <c r="H93">
        <v>9</v>
      </c>
      <c r="I93" s="7">
        <v>0.8387096774193549</v>
      </c>
      <c r="J93" s="7">
        <v>0.19354838709677424</v>
      </c>
      <c r="K93" s="7">
        <f>Parametri!$B$6*I93+Parametri!$B$7*J93</f>
      </c>
      <c r="L93">
        <f>IF(K93&gt;=Parametri!$B$3,3,IF(K93&gt;=Parametri!$B$4,2,1))</f>
      </c>
      <c r="M93" t="s">
        <v>28</v>
      </c>
      <c r="N93" t="s">
        <v>29</v>
      </c>
    </row>
    <row r="94" spans="1:14" x14ac:dyDescent="0.25">
      <c r="A94" s="5" t="s">
        <v>23</v>
      </c>
      <c r="B94" s="5" t="s">
        <v>187</v>
      </c>
      <c r="C94" s="5" t="s">
        <v>25</v>
      </c>
      <c r="D94" s="5" t="s">
        <v>232</v>
      </c>
      <c r="E94" s="5" t="s">
        <v>233</v>
      </c>
      <c r="F94" s="5">
        <v>9</v>
      </c>
      <c r="G94" s="5">
        <v>0</v>
      </c>
      <c r="H94" s="5">
        <v>9</v>
      </c>
      <c r="I94" s="6">
        <v>0.8387096774193549</v>
      </c>
      <c r="J94" s="6">
        <v>0.19354838709677424</v>
      </c>
      <c r="K94" s="6">
        <f>Parametri!$B$6*I94+Parametri!$B$7*J94</f>
      </c>
      <c r="L94" s="5">
        <f>IF(K94&gt;=Parametri!$B$3,3,IF(K94&gt;=Parametri!$B$4,2,1))</f>
      </c>
      <c r="M94" s="5" t="s">
        <v>28</v>
      </c>
      <c r="N94" s="5" t="s">
        <v>29</v>
      </c>
    </row>
    <row r="95" spans="1:14" x14ac:dyDescent="0.25">
      <c r="A95" t="s">
        <v>23</v>
      </c>
      <c r="B95" t="s">
        <v>187</v>
      </c>
      <c r="C95" t="s">
        <v>25</v>
      </c>
      <c r="D95" t="s">
        <v>234</v>
      </c>
      <c r="E95" t="s">
        <v>235</v>
      </c>
      <c r="F95">
        <v>8</v>
      </c>
      <c r="G95">
        <v>1</v>
      </c>
      <c r="H95">
        <v>9</v>
      </c>
      <c r="I95" s="7">
        <v>0.1935483870967742</v>
      </c>
      <c r="J95" s="7">
        <v>0</v>
      </c>
      <c r="K95" s="7">
        <f>Parametri!$B$6*I95+Parametri!$B$7*J95</f>
      </c>
      <c r="L95">
        <f>IF(K95&gt;=Parametri!$B$3,3,IF(K95&gt;=Parametri!$B$4,2,1))</f>
      </c>
      <c r="M95" t="s">
        <v>28</v>
      </c>
      <c r="N95" t="s">
        <v>29</v>
      </c>
    </row>
    <row r="96" spans="1:14" x14ac:dyDescent="0.25">
      <c r="A96" s="5" t="s">
        <v>23</v>
      </c>
      <c r="B96" s="5" t="s">
        <v>187</v>
      </c>
      <c r="C96" s="5" t="s">
        <v>25</v>
      </c>
      <c r="D96" s="5" t="s">
        <v>236</v>
      </c>
      <c r="E96" s="5" t="s">
        <v>237</v>
      </c>
      <c r="F96" s="5">
        <v>9</v>
      </c>
      <c r="G96" s="5">
        <v>0</v>
      </c>
      <c r="H96" s="5">
        <v>9</v>
      </c>
      <c r="I96" s="6">
        <v>0.8387096774193549</v>
      </c>
      <c r="J96" s="6">
        <v>0.19354838709677424</v>
      </c>
      <c r="K96" s="6">
        <f>Parametri!$B$6*I96+Parametri!$B$7*J96</f>
      </c>
      <c r="L96" s="5">
        <f>IF(K96&gt;=Parametri!$B$3,3,IF(K96&gt;=Parametri!$B$4,2,1))</f>
      </c>
      <c r="M96" s="5" t="s">
        <v>28</v>
      </c>
      <c r="N96" s="5" t="s">
        <v>29</v>
      </c>
    </row>
    <row r="97" spans="1:14" x14ac:dyDescent="0.25">
      <c r="A97" t="s">
        <v>23</v>
      </c>
      <c r="B97" t="s">
        <v>187</v>
      </c>
      <c r="C97" t="s">
        <v>25</v>
      </c>
      <c r="D97" t="s">
        <v>238</v>
      </c>
      <c r="E97" t="s">
        <v>239</v>
      </c>
      <c r="F97">
        <v>9</v>
      </c>
      <c r="G97">
        <v>0</v>
      </c>
      <c r="H97">
        <v>9</v>
      </c>
      <c r="I97" s="7">
        <v>0.8387096774193549</v>
      </c>
      <c r="J97" s="7">
        <v>0.19354838709677424</v>
      </c>
      <c r="K97" s="7">
        <f>Parametri!$B$6*I97+Parametri!$B$7*J97</f>
      </c>
      <c r="L97">
        <f>IF(K97&gt;=Parametri!$B$3,3,IF(K97&gt;=Parametri!$B$4,2,1))</f>
      </c>
      <c r="M97" t="s">
        <v>28</v>
      </c>
      <c r="N97" t="s">
        <v>29</v>
      </c>
    </row>
    <row r="98" spans="1:14" x14ac:dyDescent="0.25">
      <c r="A98" s="5" t="s">
        <v>23</v>
      </c>
      <c r="B98" s="5" t="s">
        <v>187</v>
      </c>
      <c r="C98" s="5" t="s">
        <v>25</v>
      </c>
      <c r="D98" s="5" t="s">
        <v>240</v>
      </c>
      <c r="E98" s="5" t="s">
        <v>241</v>
      </c>
      <c r="F98" s="5">
        <v>9</v>
      </c>
      <c r="G98" s="5">
        <v>0</v>
      </c>
      <c r="H98" s="5">
        <v>9</v>
      </c>
      <c r="I98" s="6">
        <v>0.8387096774193549</v>
      </c>
      <c r="J98" s="6">
        <v>0.19354838709677424</v>
      </c>
      <c r="K98" s="6">
        <f>Parametri!$B$6*I98+Parametri!$B$7*J98</f>
      </c>
      <c r="L98" s="5">
        <f>IF(K98&gt;=Parametri!$B$3,3,IF(K98&gt;=Parametri!$B$4,2,1))</f>
      </c>
      <c r="M98" s="5" t="s">
        <v>28</v>
      </c>
      <c r="N98" s="5" t="s">
        <v>29</v>
      </c>
    </row>
    <row r="99" spans="1:14" x14ac:dyDescent="0.25">
      <c r="A99" t="s">
        <v>23</v>
      </c>
      <c r="B99" t="s">
        <v>187</v>
      </c>
      <c r="C99" t="s">
        <v>25</v>
      </c>
      <c r="D99" t="s">
        <v>242</v>
      </c>
      <c r="E99" t="s">
        <v>243</v>
      </c>
      <c r="F99">
        <v>8</v>
      </c>
      <c r="G99">
        <v>1</v>
      </c>
      <c r="H99">
        <v>9</v>
      </c>
      <c r="I99" s="7">
        <v>0.1935483870967742</v>
      </c>
      <c r="J99" s="7">
        <v>0</v>
      </c>
      <c r="K99" s="7">
        <f>Parametri!$B$6*I99+Parametri!$B$7*J99</f>
      </c>
      <c r="L99">
        <f>IF(K99&gt;=Parametri!$B$3,3,IF(K99&gt;=Parametri!$B$4,2,1))</f>
      </c>
      <c r="M99" t="s">
        <v>28</v>
      </c>
      <c r="N99" t="s">
        <v>29</v>
      </c>
    </row>
    <row r="100" spans="1:14" x14ac:dyDescent="0.25">
      <c r="A100" s="5" t="s">
        <v>23</v>
      </c>
      <c r="B100" s="5" t="s">
        <v>187</v>
      </c>
      <c r="C100" s="5" t="s">
        <v>25</v>
      </c>
      <c r="D100" s="5" t="s">
        <v>244</v>
      </c>
      <c r="E100" s="5" t="s">
        <v>245</v>
      </c>
      <c r="F100" s="5">
        <v>10</v>
      </c>
      <c r="G100" s="5">
        <v>0</v>
      </c>
      <c r="H100" s="5">
        <v>10</v>
      </c>
      <c r="I100" s="6">
        <v>1</v>
      </c>
      <c r="J100" s="6">
        <v>0.19354838709677424</v>
      </c>
      <c r="K100" s="6">
        <f>Parametri!$B$6*I100+Parametri!$B$7*J100</f>
      </c>
      <c r="L100" s="5">
        <f>IF(K100&gt;=Parametri!$B$3,3,IF(K100&gt;=Parametri!$B$4,2,1))</f>
      </c>
      <c r="M100" s="5" t="s">
        <v>28</v>
      </c>
      <c r="N100" s="5" t="s">
        <v>29</v>
      </c>
    </row>
    <row r="101" spans="1:14" x14ac:dyDescent="0.25">
      <c r="A101" t="s">
        <v>23</v>
      </c>
      <c r="B101" t="s">
        <v>187</v>
      </c>
      <c r="C101" t="s">
        <v>25</v>
      </c>
      <c r="D101" t="s">
        <v>246</v>
      </c>
      <c r="E101" t="s">
        <v>247</v>
      </c>
      <c r="F101">
        <v>9</v>
      </c>
      <c r="G101">
        <v>0</v>
      </c>
      <c r="H101">
        <v>9</v>
      </c>
      <c r="I101" s="7">
        <v>0.8387096774193549</v>
      </c>
      <c r="J101" s="7">
        <v>0.19354838709677424</v>
      </c>
      <c r="K101" s="7">
        <f>Parametri!$B$6*I101+Parametri!$B$7*J101</f>
      </c>
      <c r="L101">
        <f>IF(K101&gt;=Parametri!$B$3,3,IF(K101&gt;=Parametri!$B$4,2,1))</f>
      </c>
      <c r="M101" t="s">
        <v>28</v>
      </c>
      <c r="N101" t="s">
        <v>29</v>
      </c>
    </row>
    <row r="102" spans="1:14" x14ac:dyDescent="0.25">
      <c r="A102" s="5" t="s">
        <v>23</v>
      </c>
      <c r="B102" s="5" t="s">
        <v>187</v>
      </c>
      <c r="C102" s="5" t="s">
        <v>25</v>
      </c>
      <c r="D102" s="5" t="s">
        <v>248</v>
      </c>
      <c r="E102" s="5" t="s">
        <v>249</v>
      </c>
      <c r="F102" s="5">
        <v>10</v>
      </c>
      <c r="G102" s="5">
        <v>0</v>
      </c>
      <c r="H102" s="5">
        <v>10</v>
      </c>
      <c r="I102" s="6">
        <v>1</v>
      </c>
      <c r="J102" s="6">
        <v>0.19354838709677424</v>
      </c>
      <c r="K102" s="6">
        <f>Parametri!$B$6*I102+Parametri!$B$7*J102</f>
      </c>
      <c r="L102" s="5">
        <f>IF(K102&gt;=Parametri!$B$3,3,IF(K102&gt;=Parametri!$B$4,2,1))</f>
      </c>
      <c r="M102" s="5" t="s">
        <v>28</v>
      </c>
      <c r="N102" s="5" t="s">
        <v>29</v>
      </c>
    </row>
    <row r="103" spans="1:14" x14ac:dyDescent="0.25">
      <c r="A103" t="s">
        <v>23</v>
      </c>
      <c r="B103" t="s">
        <v>187</v>
      </c>
      <c r="C103" t="s">
        <v>25</v>
      </c>
      <c r="D103" t="s">
        <v>250</v>
      </c>
      <c r="E103" t="s">
        <v>251</v>
      </c>
      <c r="F103">
        <v>9</v>
      </c>
      <c r="G103">
        <v>0</v>
      </c>
      <c r="H103">
        <v>9</v>
      </c>
      <c r="I103" s="7">
        <v>0.8387096774193549</v>
      </c>
      <c r="J103" s="7">
        <v>0.19354838709677424</v>
      </c>
      <c r="K103" s="7">
        <f>Parametri!$B$6*I103+Parametri!$B$7*J103</f>
      </c>
      <c r="L103">
        <f>IF(K103&gt;=Parametri!$B$3,3,IF(K103&gt;=Parametri!$B$4,2,1))</f>
      </c>
      <c r="M103" t="s">
        <v>28</v>
      </c>
      <c r="N103" t="s">
        <v>29</v>
      </c>
    </row>
    <row r="104" spans="1:14" x14ac:dyDescent="0.25">
      <c r="A104" s="5" t="s">
        <v>23</v>
      </c>
      <c r="B104" s="5" t="s">
        <v>252</v>
      </c>
      <c r="C104" s="5" t="s">
        <v>75</v>
      </c>
      <c r="D104" s="5" t="s">
        <v>253</v>
      </c>
      <c r="E104" s="5" t="s">
        <v>254</v>
      </c>
      <c r="F104" s="5">
        <v>5</v>
      </c>
      <c r="G104" s="5">
        <v>0</v>
      </c>
      <c r="H104" s="5">
        <v>5</v>
      </c>
      <c r="I104" s="6">
        <v>1</v>
      </c>
      <c r="J104" s="6">
        <v>0</v>
      </c>
      <c r="K104" s="6">
        <f>Parametri!$B$6*I104+Parametri!$B$7*J104</f>
      </c>
      <c r="L104" s="5">
        <f>IF(K104&gt;=Parametri!$B$3,3,IF(K104&gt;=Parametri!$B$4,2,1))</f>
      </c>
      <c r="M104" s="5" t="s">
        <v>28</v>
      </c>
      <c r="N104" s="5" t="s">
        <v>29</v>
      </c>
    </row>
    <row r="105" spans="1:14" x14ac:dyDescent="0.25">
      <c r="A105" s="8" t="s">
        <v>23</v>
      </c>
      <c r="B105" s="8" t="s">
        <v>252</v>
      </c>
      <c r="C105" s="8" t="s">
        <v>75</v>
      </c>
      <c r="D105" s="8" t="s">
        <v>255</v>
      </c>
      <c r="E105" s="8" t="s">
        <v>256</v>
      </c>
      <c r="F105" s="8">
        <v>4</v>
      </c>
      <c r="G105" s="8">
        <v>0</v>
      </c>
      <c r="H105" s="8">
        <v>4</v>
      </c>
      <c r="I105" s="8" t="s">
        <v>55</v>
      </c>
      <c r="J105" s="8" t="s">
        <v>55</v>
      </c>
      <c r="K105" s="8" t="s">
        <v>55</v>
      </c>
      <c r="L105" s="8" t="s">
        <v>56</v>
      </c>
      <c r="M105" s="8" t="s">
        <v>28</v>
      </c>
      <c r="N105" s="8" t="s">
        <v>56</v>
      </c>
    </row>
    <row r="106" spans="1:14" x14ac:dyDescent="0.25">
      <c r="A106" s="8" t="s">
        <v>23</v>
      </c>
      <c r="B106" s="8" t="s">
        <v>252</v>
      </c>
      <c r="C106" s="8" t="s">
        <v>75</v>
      </c>
      <c r="D106" s="8" t="s">
        <v>257</v>
      </c>
      <c r="E106" s="8" t="s">
        <v>258</v>
      </c>
      <c r="F106" s="8">
        <v>4</v>
      </c>
      <c r="G106" s="8">
        <v>0</v>
      </c>
      <c r="H106" s="8">
        <v>4</v>
      </c>
      <c r="I106" s="8" t="s">
        <v>55</v>
      </c>
      <c r="J106" s="8" t="s">
        <v>55</v>
      </c>
      <c r="K106" s="8" t="s">
        <v>55</v>
      </c>
      <c r="L106" s="8" t="s">
        <v>56</v>
      </c>
      <c r="M106" s="8" t="s">
        <v>28</v>
      </c>
      <c r="N106" s="8" t="s">
        <v>56</v>
      </c>
    </row>
    <row r="107" spans="1:14" x14ac:dyDescent="0.25">
      <c r="A107" s="8" t="s">
        <v>23</v>
      </c>
      <c r="B107" s="8" t="s">
        <v>252</v>
      </c>
      <c r="C107" s="8" t="s">
        <v>75</v>
      </c>
      <c r="D107" s="8" t="s">
        <v>259</v>
      </c>
      <c r="E107" s="8" t="s">
        <v>260</v>
      </c>
      <c r="F107" s="8">
        <v>4</v>
      </c>
      <c r="G107" s="8">
        <v>0</v>
      </c>
      <c r="H107" s="8">
        <v>4</v>
      </c>
      <c r="I107" s="8" t="s">
        <v>55</v>
      </c>
      <c r="J107" s="8" t="s">
        <v>55</v>
      </c>
      <c r="K107" s="8" t="s">
        <v>55</v>
      </c>
      <c r="L107" s="8" t="s">
        <v>56</v>
      </c>
      <c r="M107" s="8" t="s">
        <v>28</v>
      </c>
      <c r="N107" s="8" t="s">
        <v>56</v>
      </c>
    </row>
    <row r="108" spans="1:14" x14ac:dyDescent="0.25">
      <c r="A108" s="8" t="s">
        <v>23</v>
      </c>
      <c r="B108" s="8" t="s">
        <v>252</v>
      </c>
      <c r="C108" s="8" t="s">
        <v>75</v>
      </c>
      <c r="D108" s="8" t="s">
        <v>261</v>
      </c>
      <c r="E108" s="8" t="s">
        <v>262</v>
      </c>
      <c r="F108" s="8">
        <v>4</v>
      </c>
      <c r="G108" s="8">
        <v>0</v>
      </c>
      <c r="H108" s="8">
        <v>4</v>
      </c>
      <c r="I108" s="8" t="s">
        <v>55</v>
      </c>
      <c r="J108" s="8" t="s">
        <v>55</v>
      </c>
      <c r="K108" s="8" t="s">
        <v>55</v>
      </c>
      <c r="L108" s="8" t="s">
        <v>56</v>
      </c>
      <c r="M108" s="8" t="s">
        <v>28</v>
      </c>
      <c r="N108" s="8" t="s">
        <v>56</v>
      </c>
    </row>
    <row r="109" spans="1:14" x14ac:dyDescent="0.25">
      <c r="A109" s="8" t="s">
        <v>23</v>
      </c>
      <c r="B109" s="8" t="s">
        <v>252</v>
      </c>
      <c r="C109" s="8" t="s">
        <v>75</v>
      </c>
      <c r="D109" s="8" t="s">
        <v>263</v>
      </c>
      <c r="E109" s="8" t="s">
        <v>264</v>
      </c>
      <c r="F109" s="8">
        <v>4</v>
      </c>
      <c r="G109" s="8">
        <v>0</v>
      </c>
      <c r="H109" s="8">
        <v>4</v>
      </c>
      <c r="I109" s="8" t="s">
        <v>55</v>
      </c>
      <c r="J109" s="8" t="s">
        <v>55</v>
      </c>
      <c r="K109" s="8" t="s">
        <v>55</v>
      </c>
      <c r="L109" s="8" t="s">
        <v>56</v>
      </c>
      <c r="M109" s="8" t="s">
        <v>28</v>
      </c>
      <c r="N109" s="8" t="s">
        <v>56</v>
      </c>
    </row>
    <row r="110" spans="1:14" x14ac:dyDescent="0.25">
      <c r="A110" s="8" t="s">
        <v>23</v>
      </c>
      <c r="B110" s="8" t="s">
        <v>252</v>
      </c>
      <c r="C110" s="8" t="s">
        <v>75</v>
      </c>
      <c r="D110" s="8" t="s">
        <v>265</v>
      </c>
      <c r="E110" s="8" t="s">
        <v>266</v>
      </c>
      <c r="F110" s="8">
        <v>4</v>
      </c>
      <c r="G110" s="8">
        <v>0</v>
      </c>
      <c r="H110" s="8">
        <v>4</v>
      </c>
      <c r="I110" s="8" t="s">
        <v>55</v>
      </c>
      <c r="J110" s="8" t="s">
        <v>55</v>
      </c>
      <c r="K110" s="8" t="s">
        <v>55</v>
      </c>
      <c r="L110" s="8" t="s">
        <v>56</v>
      </c>
      <c r="M110" s="8" t="s">
        <v>28</v>
      </c>
      <c r="N110" s="8" t="s">
        <v>56</v>
      </c>
    </row>
    <row r="111" spans="1:14" x14ac:dyDescent="0.25">
      <c r="A111" s="8" t="s">
        <v>23</v>
      </c>
      <c r="B111" s="8" t="s">
        <v>252</v>
      </c>
      <c r="C111" s="8" t="s">
        <v>75</v>
      </c>
      <c r="D111" s="8" t="s">
        <v>267</v>
      </c>
      <c r="E111" s="8" t="s">
        <v>268</v>
      </c>
      <c r="F111" s="8">
        <v>4</v>
      </c>
      <c r="G111" s="8">
        <v>0</v>
      </c>
      <c r="H111" s="8">
        <v>4</v>
      </c>
      <c r="I111" s="8" t="s">
        <v>55</v>
      </c>
      <c r="J111" s="8" t="s">
        <v>55</v>
      </c>
      <c r="K111" s="8" t="s">
        <v>55</v>
      </c>
      <c r="L111" s="8" t="s">
        <v>56</v>
      </c>
      <c r="M111" s="8" t="s">
        <v>28</v>
      </c>
      <c r="N111" s="8" t="s">
        <v>56</v>
      </c>
    </row>
    <row r="112" spans="1:14" x14ac:dyDescent="0.25">
      <c r="A112" s="5" t="s">
        <v>23</v>
      </c>
      <c r="B112" s="5" t="s">
        <v>269</v>
      </c>
      <c r="C112" s="5" t="s">
        <v>75</v>
      </c>
      <c r="D112" s="5" t="s">
        <v>270</v>
      </c>
      <c r="E112" s="5" t="s">
        <v>271</v>
      </c>
      <c r="F112" s="5">
        <v>56</v>
      </c>
      <c r="G112" s="5">
        <v>3</v>
      </c>
      <c r="H112" s="5">
        <v>59</v>
      </c>
      <c r="I112" s="6">
        <v>1</v>
      </c>
      <c r="J112" s="6">
        <v>1</v>
      </c>
      <c r="K112" s="6">
        <f>Parametri!$B$6*I112+Parametri!$B$7*J112</f>
      </c>
      <c r="L112" s="5">
        <f>IF(K112&gt;=Parametri!$B$3,3,IF(K112&gt;=Parametri!$B$4,2,1))</f>
      </c>
      <c r="M112" s="5" t="s">
        <v>28</v>
      </c>
      <c r="N112" s="5" t="s">
        <v>29</v>
      </c>
    </row>
    <row r="113" spans="1:14" x14ac:dyDescent="0.25">
      <c r="A113" t="s">
        <v>23</v>
      </c>
      <c r="B113" t="s">
        <v>269</v>
      </c>
      <c r="C113" t="s">
        <v>75</v>
      </c>
      <c r="D113" t="s">
        <v>272</v>
      </c>
      <c r="E113" t="s">
        <v>273</v>
      </c>
      <c r="F113">
        <v>42</v>
      </c>
      <c r="G113">
        <v>10</v>
      </c>
      <c r="H113">
        <v>52</v>
      </c>
      <c r="I113" s="7">
        <v>0.9565217391304348</v>
      </c>
      <c r="J113" s="7">
        <v>0.9565217391304348</v>
      </c>
      <c r="K113" s="7">
        <f>Parametri!$B$6*I113+Parametri!$B$7*J113</f>
      </c>
      <c r="L113">
        <f>IF(K113&gt;=Parametri!$B$3,3,IF(K113&gt;=Parametri!$B$4,2,1))</f>
      </c>
      <c r="M113" t="s">
        <v>28</v>
      </c>
      <c r="N113" t="s">
        <v>29</v>
      </c>
    </row>
    <row r="114" spans="1:14" x14ac:dyDescent="0.25">
      <c r="A114" s="5" t="s">
        <v>23</v>
      </c>
      <c r="B114" s="5" t="s">
        <v>269</v>
      </c>
      <c r="C114" s="5" t="s">
        <v>75</v>
      </c>
      <c r="D114" s="5" t="s">
        <v>274</v>
      </c>
      <c r="E114" s="5" t="s">
        <v>275</v>
      </c>
      <c r="F114" s="5">
        <v>16</v>
      </c>
      <c r="G114" s="5">
        <v>23</v>
      </c>
      <c r="H114" s="5">
        <v>39</v>
      </c>
      <c r="I114" s="6">
        <v>0.6956521739130435</v>
      </c>
      <c r="J114" s="6">
        <v>0.13043478260869568</v>
      </c>
      <c r="K114" s="6">
        <f>Parametri!$B$6*I114+Parametri!$B$7*J114</f>
      </c>
      <c r="L114" s="5">
        <f>IF(K114&gt;=Parametri!$B$3,3,IF(K114&gt;=Parametri!$B$4,2,1))</f>
      </c>
      <c r="M114" s="5" t="s">
        <v>28</v>
      </c>
      <c r="N114" s="5" t="s">
        <v>29</v>
      </c>
    </row>
    <row r="115" spans="1:14" x14ac:dyDescent="0.25">
      <c r="A115" t="s">
        <v>23</v>
      </c>
      <c r="B115" t="s">
        <v>269</v>
      </c>
      <c r="C115" t="s">
        <v>75</v>
      </c>
      <c r="D115" t="s">
        <v>276</v>
      </c>
      <c r="E115" t="s">
        <v>277</v>
      </c>
      <c r="F115">
        <v>23</v>
      </c>
      <c r="G115">
        <v>20</v>
      </c>
      <c r="H115">
        <v>43</v>
      </c>
      <c r="I115" s="7">
        <v>0.9130434782608695</v>
      </c>
      <c r="J115" s="7">
        <v>0.34782608695652173</v>
      </c>
      <c r="K115" s="7">
        <f>Parametri!$B$6*I115+Parametri!$B$7*J115</f>
      </c>
      <c r="L115">
        <f>IF(K115&gt;=Parametri!$B$3,3,IF(K115&gt;=Parametri!$B$4,2,1))</f>
      </c>
      <c r="M115" t="s">
        <v>28</v>
      </c>
      <c r="N115" t="s">
        <v>29</v>
      </c>
    </row>
    <row r="116" spans="1:14" x14ac:dyDescent="0.25">
      <c r="A116" s="5" t="s">
        <v>23</v>
      </c>
      <c r="B116" s="5" t="s">
        <v>269</v>
      </c>
      <c r="C116" s="5" t="s">
        <v>75</v>
      </c>
      <c r="D116" s="5" t="s">
        <v>278</v>
      </c>
      <c r="E116" s="5" t="s">
        <v>279</v>
      </c>
      <c r="F116" s="5">
        <v>9</v>
      </c>
      <c r="G116" s="5">
        <v>23</v>
      </c>
      <c r="H116" s="5">
        <v>32</v>
      </c>
      <c r="I116" s="6">
        <v>0</v>
      </c>
      <c r="J116" s="6">
        <v>0.13043478260869568</v>
      </c>
      <c r="K116" s="6">
        <f>Parametri!$B$6*I116+Parametri!$B$7*J116</f>
      </c>
      <c r="L116" s="5">
        <f>IF(K116&gt;=Parametri!$B$3,3,IF(K116&gt;=Parametri!$B$4,2,1))</f>
      </c>
      <c r="M116" s="5" t="s">
        <v>28</v>
      </c>
      <c r="N116" s="5" t="s">
        <v>29</v>
      </c>
    </row>
    <row r="117" spans="1:14" x14ac:dyDescent="0.25">
      <c r="A117" t="s">
        <v>23</v>
      </c>
      <c r="B117" t="s">
        <v>269</v>
      </c>
      <c r="C117" t="s">
        <v>75</v>
      </c>
      <c r="D117" t="s">
        <v>280</v>
      </c>
      <c r="E117" t="s">
        <v>281</v>
      </c>
      <c r="F117">
        <v>15</v>
      </c>
      <c r="G117">
        <v>16</v>
      </c>
      <c r="H117">
        <v>31</v>
      </c>
      <c r="I117" s="7">
        <v>0.6521739130434783</v>
      </c>
      <c r="J117" s="7">
        <v>0.8260869565217391</v>
      </c>
      <c r="K117" s="7">
        <f>Parametri!$B$6*I117+Parametri!$B$7*J117</f>
      </c>
      <c r="L117">
        <f>IF(K117&gt;=Parametri!$B$3,3,IF(K117&gt;=Parametri!$B$4,2,1))</f>
      </c>
      <c r="M117" t="s">
        <v>28</v>
      </c>
      <c r="N117" t="s">
        <v>29</v>
      </c>
    </row>
    <row r="118" spans="1:14" x14ac:dyDescent="0.25">
      <c r="A118" s="5" t="s">
        <v>23</v>
      </c>
      <c r="B118" s="5" t="s">
        <v>269</v>
      </c>
      <c r="C118" s="5" t="s">
        <v>75</v>
      </c>
      <c r="D118" s="5" t="s">
        <v>282</v>
      </c>
      <c r="E118" s="5" t="s">
        <v>283</v>
      </c>
      <c r="F118" s="5">
        <v>13</v>
      </c>
      <c r="G118" s="5">
        <v>25</v>
      </c>
      <c r="H118" s="5">
        <v>38</v>
      </c>
      <c r="I118" s="6">
        <v>0.4782608695652174</v>
      </c>
      <c r="J118" s="6">
        <v>0.08695652173913049</v>
      </c>
      <c r="K118" s="6">
        <f>Parametri!$B$6*I118+Parametri!$B$7*J118</f>
      </c>
      <c r="L118" s="5">
        <f>IF(K118&gt;=Parametri!$B$3,3,IF(K118&gt;=Parametri!$B$4,2,1))</f>
      </c>
      <c r="M118" s="5" t="s">
        <v>28</v>
      </c>
      <c r="N118" s="5" t="s">
        <v>29</v>
      </c>
    </row>
    <row r="119" spans="1:14" x14ac:dyDescent="0.25">
      <c r="A119" t="s">
        <v>23</v>
      </c>
      <c r="B119" t="s">
        <v>269</v>
      </c>
      <c r="C119" t="s">
        <v>75</v>
      </c>
      <c r="D119" t="s">
        <v>284</v>
      </c>
      <c r="E119" t="s">
        <v>285</v>
      </c>
      <c r="F119">
        <v>22</v>
      </c>
      <c r="G119">
        <v>19</v>
      </c>
      <c r="H119">
        <v>41</v>
      </c>
      <c r="I119" s="7">
        <v>0.8695652173913043</v>
      </c>
      <c r="J119" s="7">
        <v>0.5217391304347826</v>
      </c>
      <c r="K119" s="7">
        <f>Parametri!$B$6*I119+Parametri!$B$7*J119</f>
      </c>
      <c r="L119">
        <f>IF(K119&gt;=Parametri!$B$3,3,IF(K119&gt;=Parametri!$B$4,2,1))</f>
      </c>
      <c r="M119" t="s">
        <v>28</v>
      </c>
      <c r="N119" t="s">
        <v>29</v>
      </c>
    </row>
    <row r="120" spans="1:14" x14ac:dyDescent="0.25">
      <c r="A120" s="5" t="s">
        <v>23</v>
      </c>
      <c r="B120" s="5" t="s">
        <v>269</v>
      </c>
      <c r="C120" s="5" t="s">
        <v>75</v>
      </c>
      <c r="D120" s="5" t="s">
        <v>286</v>
      </c>
      <c r="E120" s="5" t="s">
        <v>287</v>
      </c>
      <c r="F120" s="5">
        <v>10</v>
      </c>
      <c r="G120" s="5">
        <v>27</v>
      </c>
      <c r="H120" s="5">
        <v>37</v>
      </c>
      <c r="I120" s="6">
        <v>0.13043478260869565</v>
      </c>
      <c r="J120" s="6">
        <v>0</v>
      </c>
      <c r="K120" s="6">
        <f>Parametri!$B$6*I120+Parametri!$B$7*J120</f>
      </c>
      <c r="L120" s="5">
        <f>IF(K120&gt;=Parametri!$B$3,3,IF(K120&gt;=Parametri!$B$4,2,1))</f>
      </c>
      <c r="M120" s="5" t="s">
        <v>28</v>
      </c>
      <c r="N120" s="5" t="s">
        <v>29</v>
      </c>
    </row>
    <row r="121" spans="1:14" x14ac:dyDescent="0.25">
      <c r="A121" t="s">
        <v>23</v>
      </c>
      <c r="B121" t="s">
        <v>269</v>
      </c>
      <c r="C121" t="s">
        <v>75</v>
      </c>
      <c r="D121" t="s">
        <v>288</v>
      </c>
      <c r="E121" t="s">
        <v>289</v>
      </c>
      <c r="F121">
        <v>12</v>
      </c>
      <c r="G121">
        <v>26</v>
      </c>
      <c r="H121">
        <v>38</v>
      </c>
      <c r="I121" s="7">
        <v>0.30434782608695654</v>
      </c>
      <c r="J121" s="7">
        <v>0.04347826086956519</v>
      </c>
      <c r="K121" s="7">
        <f>Parametri!$B$6*I121+Parametri!$B$7*J121</f>
      </c>
      <c r="L121">
        <f>IF(K121&gt;=Parametri!$B$3,3,IF(K121&gt;=Parametri!$B$4,2,1))</f>
      </c>
      <c r="M121" t="s">
        <v>28</v>
      </c>
      <c r="N121" t="s">
        <v>29</v>
      </c>
    </row>
    <row r="122" spans="1:14" x14ac:dyDescent="0.25">
      <c r="A122" s="5" t="s">
        <v>23</v>
      </c>
      <c r="B122" s="5" t="s">
        <v>269</v>
      </c>
      <c r="C122" s="5" t="s">
        <v>75</v>
      </c>
      <c r="D122" s="5" t="s">
        <v>290</v>
      </c>
      <c r="E122" s="5" t="s">
        <v>291</v>
      </c>
      <c r="F122" s="5">
        <v>18</v>
      </c>
      <c r="G122" s="5">
        <v>18</v>
      </c>
      <c r="H122" s="5">
        <v>36</v>
      </c>
      <c r="I122" s="6">
        <v>0.782608695652174</v>
      </c>
      <c r="J122" s="6">
        <v>0.6521739130434783</v>
      </c>
      <c r="K122" s="6">
        <f>Parametri!$B$6*I122+Parametri!$B$7*J122</f>
      </c>
      <c r="L122" s="5">
        <f>IF(K122&gt;=Parametri!$B$3,3,IF(K122&gt;=Parametri!$B$4,2,1))</f>
      </c>
      <c r="M122" s="5" t="s">
        <v>28</v>
      </c>
      <c r="N122" s="5" t="s">
        <v>29</v>
      </c>
    </row>
    <row r="123" spans="1:14" x14ac:dyDescent="0.25">
      <c r="A123" t="s">
        <v>23</v>
      </c>
      <c r="B123" t="s">
        <v>269</v>
      </c>
      <c r="C123" t="s">
        <v>75</v>
      </c>
      <c r="D123" t="s">
        <v>292</v>
      </c>
      <c r="E123" t="s">
        <v>293</v>
      </c>
      <c r="F123">
        <v>11</v>
      </c>
      <c r="G123">
        <v>23</v>
      </c>
      <c r="H123">
        <v>34</v>
      </c>
      <c r="I123" s="7">
        <v>0.2608695652173913</v>
      </c>
      <c r="J123" s="7">
        <v>0.13043478260869568</v>
      </c>
      <c r="K123" s="7">
        <f>Parametri!$B$6*I123+Parametri!$B$7*J123</f>
      </c>
      <c r="L123">
        <f>IF(K123&gt;=Parametri!$B$3,3,IF(K123&gt;=Parametri!$B$4,2,1))</f>
      </c>
      <c r="M123" t="s">
        <v>28</v>
      </c>
      <c r="N123" t="s">
        <v>29</v>
      </c>
    </row>
    <row r="124" spans="1:14" x14ac:dyDescent="0.25">
      <c r="A124" s="5" t="s">
        <v>23</v>
      </c>
      <c r="B124" s="5" t="s">
        <v>269</v>
      </c>
      <c r="C124" s="5" t="s">
        <v>75</v>
      </c>
      <c r="D124" s="5" t="s">
        <v>294</v>
      </c>
      <c r="E124" s="5" t="s">
        <v>295</v>
      </c>
      <c r="F124" s="5">
        <v>13</v>
      </c>
      <c r="G124" s="5">
        <v>23</v>
      </c>
      <c r="H124" s="5">
        <v>36</v>
      </c>
      <c r="I124" s="6">
        <v>0.4782608695652174</v>
      </c>
      <c r="J124" s="6">
        <v>0.13043478260869568</v>
      </c>
      <c r="K124" s="6">
        <f>Parametri!$B$6*I124+Parametri!$B$7*J124</f>
      </c>
      <c r="L124" s="5">
        <f>IF(K124&gt;=Parametri!$B$3,3,IF(K124&gt;=Parametri!$B$4,2,1))</f>
      </c>
      <c r="M124" s="5" t="s">
        <v>28</v>
      </c>
      <c r="N124" s="5" t="s">
        <v>29</v>
      </c>
    </row>
    <row r="125" spans="1:14" x14ac:dyDescent="0.25">
      <c r="A125" t="s">
        <v>23</v>
      </c>
      <c r="B125" t="s">
        <v>269</v>
      </c>
      <c r="C125" t="s">
        <v>75</v>
      </c>
      <c r="D125" t="s">
        <v>296</v>
      </c>
      <c r="E125" t="s">
        <v>297</v>
      </c>
      <c r="F125">
        <v>18</v>
      </c>
      <c r="G125">
        <v>18</v>
      </c>
      <c r="H125">
        <v>36</v>
      </c>
      <c r="I125" s="7">
        <v>0.782608695652174</v>
      </c>
      <c r="J125" s="7">
        <v>0.6521739130434783</v>
      </c>
      <c r="K125" s="7">
        <f>Parametri!$B$6*I125+Parametri!$B$7*J125</f>
      </c>
      <c r="L125">
        <f>IF(K125&gt;=Parametri!$B$3,3,IF(K125&gt;=Parametri!$B$4,2,1))</f>
      </c>
      <c r="M125" t="s">
        <v>28</v>
      </c>
      <c r="N125" t="s">
        <v>29</v>
      </c>
    </row>
    <row r="126" spans="1:14" x14ac:dyDescent="0.25">
      <c r="A126" s="5" t="s">
        <v>23</v>
      </c>
      <c r="B126" s="5" t="s">
        <v>269</v>
      </c>
      <c r="C126" s="5" t="s">
        <v>75</v>
      </c>
      <c r="D126" s="5" t="s">
        <v>298</v>
      </c>
      <c r="E126" s="5" t="s">
        <v>299</v>
      </c>
      <c r="F126" s="5">
        <v>11</v>
      </c>
      <c r="G126" s="5">
        <v>19</v>
      </c>
      <c r="H126" s="5">
        <v>30</v>
      </c>
      <c r="I126" s="6">
        <v>0.2608695652173913</v>
      </c>
      <c r="J126" s="6">
        <v>0.5217391304347826</v>
      </c>
      <c r="K126" s="6">
        <f>Parametri!$B$6*I126+Parametri!$B$7*J126</f>
      </c>
      <c r="L126" s="5">
        <f>IF(K126&gt;=Parametri!$B$3,3,IF(K126&gt;=Parametri!$B$4,2,1))</f>
      </c>
      <c r="M126" s="5" t="s">
        <v>28</v>
      </c>
      <c r="N126" s="5" t="s">
        <v>29</v>
      </c>
    </row>
    <row r="127" spans="1:14" x14ac:dyDescent="0.25">
      <c r="A127" t="s">
        <v>23</v>
      </c>
      <c r="B127" t="s">
        <v>269</v>
      </c>
      <c r="C127" t="s">
        <v>75</v>
      </c>
      <c r="D127" t="s">
        <v>300</v>
      </c>
      <c r="E127" t="s">
        <v>301</v>
      </c>
      <c r="F127">
        <v>19</v>
      </c>
      <c r="G127">
        <v>14</v>
      </c>
      <c r="H127">
        <v>33</v>
      </c>
      <c r="I127" s="7">
        <v>0.8260869565217391</v>
      </c>
      <c r="J127" s="7">
        <v>0.8695652173913043</v>
      </c>
      <c r="K127" s="7">
        <f>Parametri!$B$6*I127+Parametri!$B$7*J127</f>
      </c>
      <c r="L127">
        <f>IF(K127&gt;=Parametri!$B$3,3,IF(K127&gt;=Parametri!$B$4,2,1))</f>
      </c>
      <c r="M127" t="s">
        <v>28</v>
      </c>
      <c r="N127" t="s">
        <v>29</v>
      </c>
    </row>
    <row r="128" spans="1:14" x14ac:dyDescent="0.25">
      <c r="A128" s="5" t="s">
        <v>23</v>
      </c>
      <c r="B128" s="5" t="s">
        <v>269</v>
      </c>
      <c r="C128" s="5" t="s">
        <v>75</v>
      </c>
      <c r="D128" s="5" t="s">
        <v>302</v>
      </c>
      <c r="E128" s="5" t="s">
        <v>303</v>
      </c>
      <c r="F128" s="5">
        <v>10</v>
      </c>
      <c r="G128" s="5">
        <v>20</v>
      </c>
      <c r="H128" s="5">
        <v>30</v>
      </c>
      <c r="I128" s="6">
        <v>0.13043478260869565</v>
      </c>
      <c r="J128" s="6">
        <v>0.34782608695652173</v>
      </c>
      <c r="K128" s="6">
        <f>Parametri!$B$6*I128+Parametri!$B$7*J128</f>
      </c>
      <c r="L128" s="5">
        <f>IF(K128&gt;=Parametri!$B$3,3,IF(K128&gt;=Parametri!$B$4,2,1))</f>
      </c>
      <c r="M128" s="5" t="s">
        <v>28</v>
      </c>
      <c r="N128" s="5" t="s">
        <v>29</v>
      </c>
    </row>
    <row r="129" spans="1:14" x14ac:dyDescent="0.25">
      <c r="A129" t="s">
        <v>23</v>
      </c>
      <c r="B129" t="s">
        <v>269</v>
      </c>
      <c r="C129" t="s">
        <v>75</v>
      </c>
      <c r="D129" t="s">
        <v>304</v>
      </c>
      <c r="E129" t="s">
        <v>305</v>
      </c>
      <c r="F129">
        <v>14</v>
      </c>
      <c r="G129">
        <v>19</v>
      </c>
      <c r="H129">
        <v>33</v>
      </c>
      <c r="I129" s="7">
        <v>0.5217391304347826</v>
      </c>
      <c r="J129" s="7">
        <v>0.5217391304347826</v>
      </c>
      <c r="K129" s="7">
        <f>Parametri!$B$6*I129+Parametri!$B$7*J129</f>
      </c>
      <c r="L129">
        <f>IF(K129&gt;=Parametri!$B$3,3,IF(K129&gt;=Parametri!$B$4,2,1))</f>
      </c>
      <c r="M129" t="s">
        <v>28</v>
      </c>
      <c r="N129" t="s">
        <v>29</v>
      </c>
    </row>
    <row r="130" spans="1:14" x14ac:dyDescent="0.25">
      <c r="A130" s="5" t="s">
        <v>23</v>
      </c>
      <c r="B130" s="5" t="s">
        <v>269</v>
      </c>
      <c r="C130" s="5" t="s">
        <v>75</v>
      </c>
      <c r="D130" s="5" t="s">
        <v>306</v>
      </c>
      <c r="E130" s="5" t="s">
        <v>307</v>
      </c>
      <c r="F130" s="5">
        <v>13</v>
      </c>
      <c r="G130" s="5">
        <v>20</v>
      </c>
      <c r="H130" s="5">
        <v>33</v>
      </c>
      <c r="I130" s="6">
        <v>0.4782608695652174</v>
      </c>
      <c r="J130" s="6">
        <v>0.34782608695652173</v>
      </c>
      <c r="K130" s="6">
        <f>Parametri!$B$6*I130+Parametri!$B$7*J130</f>
      </c>
      <c r="L130" s="5">
        <f>IF(K130&gt;=Parametri!$B$3,3,IF(K130&gt;=Parametri!$B$4,2,1))</f>
      </c>
      <c r="M130" s="5" t="s">
        <v>28</v>
      </c>
      <c r="N130" s="5" t="s">
        <v>29</v>
      </c>
    </row>
    <row r="131" spans="1:14" x14ac:dyDescent="0.25">
      <c r="A131" t="s">
        <v>23</v>
      </c>
      <c r="B131" t="s">
        <v>269</v>
      </c>
      <c r="C131" t="s">
        <v>75</v>
      </c>
      <c r="D131" t="s">
        <v>308</v>
      </c>
      <c r="E131" t="s">
        <v>309</v>
      </c>
      <c r="F131">
        <v>15</v>
      </c>
      <c r="G131">
        <v>18</v>
      </c>
      <c r="H131">
        <v>33</v>
      </c>
      <c r="I131" s="7">
        <v>0.6521739130434783</v>
      </c>
      <c r="J131" s="7">
        <v>0.6521739130434783</v>
      </c>
      <c r="K131" s="7">
        <f>Parametri!$B$6*I131+Parametri!$B$7*J131</f>
      </c>
      <c r="L131">
        <f>IF(K131&gt;=Parametri!$B$3,3,IF(K131&gt;=Parametri!$B$4,2,1))</f>
      </c>
      <c r="M131" t="s">
        <v>28</v>
      </c>
      <c r="N131" t="s">
        <v>29</v>
      </c>
    </row>
    <row r="132" spans="1:14" x14ac:dyDescent="0.25">
      <c r="A132" s="5" t="s">
        <v>23</v>
      </c>
      <c r="B132" s="5" t="s">
        <v>269</v>
      </c>
      <c r="C132" s="5" t="s">
        <v>75</v>
      </c>
      <c r="D132" s="5" t="s">
        <v>310</v>
      </c>
      <c r="E132" s="5" t="s">
        <v>311</v>
      </c>
      <c r="F132" s="5">
        <v>10</v>
      </c>
      <c r="G132" s="5">
        <v>20</v>
      </c>
      <c r="H132" s="5">
        <v>30</v>
      </c>
      <c r="I132" s="6">
        <v>0.13043478260869565</v>
      </c>
      <c r="J132" s="6">
        <v>0.34782608695652173</v>
      </c>
      <c r="K132" s="6">
        <f>Parametri!$B$6*I132+Parametri!$B$7*J132</f>
      </c>
      <c r="L132" s="5">
        <f>IF(K132&gt;=Parametri!$B$3,3,IF(K132&gt;=Parametri!$B$4,2,1))</f>
      </c>
      <c r="M132" s="5" t="s">
        <v>28</v>
      </c>
      <c r="N132" s="5" t="s">
        <v>29</v>
      </c>
    </row>
    <row r="133" spans="1:14" x14ac:dyDescent="0.25">
      <c r="A133" t="s">
        <v>23</v>
      </c>
      <c r="B133" t="s">
        <v>269</v>
      </c>
      <c r="C133" t="s">
        <v>75</v>
      </c>
      <c r="D133" t="s">
        <v>312</v>
      </c>
      <c r="E133" t="s">
        <v>313</v>
      </c>
      <c r="F133">
        <v>11</v>
      </c>
      <c r="G133">
        <v>18</v>
      </c>
      <c r="H133">
        <v>29</v>
      </c>
      <c r="I133" s="7">
        <v>0.2608695652173913</v>
      </c>
      <c r="J133" s="7">
        <v>0.6521739130434783</v>
      </c>
      <c r="K133" s="7">
        <f>Parametri!$B$6*I133+Parametri!$B$7*J133</f>
      </c>
      <c r="L133">
        <f>IF(K133&gt;=Parametri!$B$3,3,IF(K133&gt;=Parametri!$B$4,2,1))</f>
      </c>
      <c r="M133" t="s">
        <v>28</v>
      </c>
      <c r="N133" t="s">
        <v>29</v>
      </c>
    </row>
    <row r="134" spans="1:14" x14ac:dyDescent="0.25">
      <c r="A134" s="5" t="s">
        <v>23</v>
      </c>
      <c r="B134" s="5" t="s">
        <v>269</v>
      </c>
      <c r="C134" s="5" t="s">
        <v>75</v>
      </c>
      <c r="D134" s="5" t="s">
        <v>314</v>
      </c>
      <c r="E134" s="5" t="s">
        <v>315</v>
      </c>
      <c r="F134" s="5">
        <v>13</v>
      </c>
      <c r="G134" s="5">
        <v>12</v>
      </c>
      <c r="H134" s="5">
        <v>25</v>
      </c>
      <c r="I134" s="6">
        <v>0.4782608695652174</v>
      </c>
      <c r="J134" s="6">
        <v>0.9130434782608696</v>
      </c>
      <c r="K134" s="6">
        <f>Parametri!$B$6*I134+Parametri!$B$7*J134</f>
      </c>
      <c r="L134" s="5">
        <f>IF(K134&gt;=Parametri!$B$3,3,IF(K134&gt;=Parametri!$B$4,2,1))</f>
      </c>
      <c r="M134" s="5" t="s">
        <v>28</v>
      </c>
      <c r="N134" s="5" t="s">
        <v>29</v>
      </c>
    </row>
    <row r="135" spans="1:14" x14ac:dyDescent="0.25">
      <c r="A135" t="s">
        <v>23</v>
      </c>
      <c r="B135" t="s">
        <v>269</v>
      </c>
      <c r="C135" t="s">
        <v>75</v>
      </c>
      <c r="D135" t="s">
        <v>316</v>
      </c>
      <c r="E135" t="s">
        <v>317</v>
      </c>
      <c r="F135">
        <v>15</v>
      </c>
      <c r="G135">
        <v>21</v>
      </c>
      <c r="H135">
        <v>36</v>
      </c>
      <c r="I135" s="7">
        <v>0.6521739130434783</v>
      </c>
      <c r="J135" s="7">
        <v>0.30434782608695654</v>
      </c>
      <c r="K135" s="7">
        <f>Parametri!$B$6*I135+Parametri!$B$7*J135</f>
      </c>
      <c r="L135">
        <f>IF(K135&gt;=Parametri!$B$3,3,IF(K135&gt;=Parametri!$B$4,2,1))</f>
      </c>
      <c r="M135" t="s">
        <v>28</v>
      </c>
      <c r="N135" t="s">
        <v>29</v>
      </c>
    </row>
    <row r="136" spans="1:14" x14ac:dyDescent="0.25">
      <c r="A136" s="5" t="s">
        <v>23</v>
      </c>
      <c r="B136" s="5" t="s">
        <v>318</v>
      </c>
      <c r="C136" s="5" t="s">
        <v>75</v>
      </c>
      <c r="D136" s="5" t="s">
        <v>319</v>
      </c>
      <c r="E136" s="5" t="s">
        <v>320</v>
      </c>
      <c r="F136" s="5">
        <v>5</v>
      </c>
      <c r="G136" s="5">
        <v>0</v>
      </c>
      <c r="H136" s="5">
        <v>5</v>
      </c>
      <c r="I136" s="6">
        <v>0.8</v>
      </c>
      <c r="J136" s="6">
        <v>0.8</v>
      </c>
      <c r="K136" s="6">
        <f>Parametri!$B$6*I136+Parametri!$B$7*J136</f>
      </c>
      <c r="L136" s="5">
        <f>IF(K136&gt;=Parametri!$B$3,3,IF(K136&gt;=Parametri!$B$4,2,1))</f>
      </c>
      <c r="M136" s="5" t="s">
        <v>28</v>
      </c>
      <c r="N136" s="5" t="s">
        <v>29</v>
      </c>
    </row>
    <row r="137" spans="1:14" x14ac:dyDescent="0.25">
      <c r="A137" t="s">
        <v>23</v>
      </c>
      <c r="B137" t="s">
        <v>318</v>
      </c>
      <c r="C137" t="s">
        <v>75</v>
      </c>
      <c r="D137" t="s">
        <v>321</v>
      </c>
      <c r="E137" t="s">
        <v>322</v>
      </c>
      <c r="F137">
        <v>5</v>
      </c>
      <c r="G137">
        <v>1</v>
      </c>
      <c r="H137">
        <v>6</v>
      </c>
      <c r="I137" s="7">
        <v>0.8</v>
      </c>
      <c r="J137" s="7">
        <v>0</v>
      </c>
      <c r="K137" s="7">
        <f>Parametri!$B$6*I137+Parametri!$B$7*J137</f>
      </c>
      <c r="L137">
        <f>IF(K137&gt;=Parametri!$B$3,3,IF(K137&gt;=Parametri!$B$4,2,1))</f>
      </c>
      <c r="M137" t="s">
        <v>28</v>
      </c>
      <c r="N137" t="s">
        <v>29</v>
      </c>
    </row>
    <row r="138" spans="1:14" x14ac:dyDescent="0.25">
      <c r="A138" s="5" t="s">
        <v>23</v>
      </c>
      <c r="B138" s="5" t="s">
        <v>318</v>
      </c>
      <c r="C138" s="5" t="s">
        <v>75</v>
      </c>
      <c r="D138" s="5" t="s">
        <v>323</v>
      </c>
      <c r="E138" s="5" t="s">
        <v>324</v>
      </c>
      <c r="F138" s="5">
        <v>4</v>
      </c>
      <c r="G138" s="5">
        <v>1</v>
      </c>
      <c r="H138" s="5">
        <v>5</v>
      </c>
      <c r="I138" s="6">
        <v>0.2</v>
      </c>
      <c r="J138" s="6">
        <v>0</v>
      </c>
      <c r="K138" s="6">
        <f>Parametri!$B$6*I138+Parametri!$B$7*J138</f>
      </c>
      <c r="L138" s="5">
        <f>IF(K138&gt;=Parametri!$B$3,3,IF(K138&gt;=Parametri!$B$4,2,1))</f>
      </c>
      <c r="M138" s="5" t="s">
        <v>28</v>
      </c>
      <c r="N138" s="5" t="s">
        <v>29</v>
      </c>
    </row>
    <row r="139" spans="1:14" x14ac:dyDescent="0.25">
      <c r="A139" t="s">
        <v>23</v>
      </c>
      <c r="B139" t="s">
        <v>318</v>
      </c>
      <c r="C139" t="s">
        <v>75</v>
      </c>
      <c r="D139" t="s">
        <v>325</v>
      </c>
      <c r="E139" t="s">
        <v>326</v>
      </c>
      <c r="F139">
        <v>6</v>
      </c>
      <c r="G139">
        <v>1</v>
      </c>
      <c r="H139">
        <v>7</v>
      </c>
      <c r="I139" s="7">
        <v>1</v>
      </c>
      <c r="J139" s="7">
        <v>0</v>
      </c>
      <c r="K139" s="7">
        <f>Parametri!$B$6*I139+Parametri!$B$7*J139</f>
      </c>
      <c r="L139">
        <f>IF(K139&gt;=Parametri!$B$3,3,IF(K139&gt;=Parametri!$B$4,2,1))</f>
      </c>
      <c r="M139" t="s">
        <v>28</v>
      </c>
      <c r="N139" t="s">
        <v>29</v>
      </c>
    </row>
    <row r="140" spans="1:14" x14ac:dyDescent="0.25">
      <c r="A140" s="5" t="s">
        <v>23</v>
      </c>
      <c r="B140" s="5" t="s">
        <v>318</v>
      </c>
      <c r="C140" s="5" t="s">
        <v>75</v>
      </c>
      <c r="D140" s="5" t="s">
        <v>327</v>
      </c>
      <c r="E140" s="5" t="s">
        <v>328</v>
      </c>
      <c r="F140" s="5">
        <v>4</v>
      </c>
      <c r="G140" s="5">
        <v>1</v>
      </c>
      <c r="H140" s="5">
        <v>5</v>
      </c>
      <c r="I140" s="6">
        <v>0.2</v>
      </c>
      <c r="J140" s="6">
        <v>0</v>
      </c>
      <c r="K140" s="6">
        <f>Parametri!$B$6*I140+Parametri!$B$7*J140</f>
      </c>
      <c r="L140" s="5">
        <f>IF(K140&gt;=Parametri!$B$3,3,IF(K140&gt;=Parametri!$B$4,2,1))</f>
      </c>
      <c r="M140" s="5" t="s">
        <v>28</v>
      </c>
      <c r="N140" s="5" t="s">
        <v>29</v>
      </c>
    </row>
    <row r="141" spans="1:14" x14ac:dyDescent="0.25">
      <c r="A141" t="s">
        <v>23</v>
      </c>
      <c r="B141" t="s">
        <v>318</v>
      </c>
      <c r="C141" t="s">
        <v>75</v>
      </c>
      <c r="D141" t="s">
        <v>329</v>
      </c>
      <c r="E141" t="s">
        <v>330</v>
      </c>
      <c r="F141">
        <v>5</v>
      </c>
      <c r="G141">
        <v>0</v>
      </c>
      <c r="H141">
        <v>5</v>
      </c>
      <c r="I141" s="7">
        <v>0.8</v>
      </c>
      <c r="J141" s="7">
        <v>0.8</v>
      </c>
      <c r="K141" s="7">
        <f>Parametri!$B$6*I141+Parametri!$B$7*J141</f>
      </c>
      <c r="L141">
        <f>IF(K141&gt;=Parametri!$B$3,3,IF(K141&gt;=Parametri!$B$4,2,1))</f>
      </c>
      <c r="M141" t="s">
        <v>28</v>
      </c>
      <c r="N141" t="s">
        <v>29</v>
      </c>
    </row>
    <row r="142" spans="1:14" x14ac:dyDescent="0.25">
      <c r="A142" s="5" t="s">
        <v>23</v>
      </c>
      <c r="B142" s="5" t="s">
        <v>331</v>
      </c>
      <c r="C142" s="5" t="s">
        <v>25</v>
      </c>
      <c r="D142" s="5" t="s">
        <v>332</v>
      </c>
      <c r="E142" s="5" t="s">
        <v>333</v>
      </c>
      <c r="F142" s="5">
        <v>6</v>
      </c>
      <c r="G142" s="5">
        <v>0</v>
      </c>
      <c r="H142" s="5">
        <v>6</v>
      </c>
      <c r="I142" s="6">
        <v>1</v>
      </c>
      <c r="J142" s="6">
        <v>0</v>
      </c>
      <c r="K142" s="6">
        <f>Parametri!$B$6*I142+Parametri!$B$7*J142</f>
      </c>
      <c r="L142" s="5">
        <f>IF(K142&gt;=Parametri!$B$3,3,IF(K142&gt;=Parametri!$B$4,2,1))</f>
      </c>
      <c r="M142" s="5" t="s">
        <v>28</v>
      </c>
      <c r="N142" s="5" t="s">
        <v>29</v>
      </c>
    </row>
    <row r="143" spans="1:14" x14ac:dyDescent="0.25">
      <c r="A143" t="s">
        <v>23</v>
      </c>
      <c r="B143" t="s">
        <v>331</v>
      </c>
      <c r="C143" t="s">
        <v>25</v>
      </c>
      <c r="D143" t="s">
        <v>334</v>
      </c>
      <c r="E143" t="s">
        <v>335</v>
      </c>
      <c r="F143">
        <v>6</v>
      </c>
      <c r="G143">
        <v>0</v>
      </c>
      <c r="H143">
        <v>6</v>
      </c>
      <c r="I143" s="7">
        <v>1</v>
      </c>
      <c r="J143" s="7">
        <v>0</v>
      </c>
      <c r="K143" s="7">
        <f>Parametri!$B$6*I143+Parametri!$B$7*J143</f>
      </c>
      <c r="L143">
        <f>IF(K143&gt;=Parametri!$B$3,3,IF(K143&gt;=Parametri!$B$4,2,1))</f>
      </c>
      <c r="M143" t="s">
        <v>28</v>
      </c>
      <c r="N143" t="s">
        <v>29</v>
      </c>
    </row>
    <row r="144" spans="1:14" x14ac:dyDescent="0.25">
      <c r="A144" s="5" t="s">
        <v>23</v>
      </c>
      <c r="B144" s="5" t="s">
        <v>336</v>
      </c>
      <c r="C144" s="5" t="s">
        <v>25</v>
      </c>
      <c r="D144" s="5" t="s">
        <v>337</v>
      </c>
      <c r="E144" s="5" t="s">
        <v>338</v>
      </c>
      <c r="F144" s="5">
        <v>10</v>
      </c>
      <c r="G144" s="5">
        <v>0</v>
      </c>
      <c r="H144" s="5">
        <v>10</v>
      </c>
      <c r="I144" s="6">
        <v>1</v>
      </c>
      <c r="J144" s="6">
        <v>0</v>
      </c>
      <c r="K144" s="6">
        <f>Parametri!$B$6*I144+Parametri!$B$7*J144</f>
      </c>
      <c r="L144" s="5">
        <f>IF(K144&gt;=Parametri!$B$3,3,IF(K144&gt;=Parametri!$B$4,2,1))</f>
      </c>
      <c r="M144" s="5" t="s">
        <v>28</v>
      </c>
      <c r="N144" s="5" t="s">
        <v>29</v>
      </c>
    </row>
    <row r="145" spans="1:14" x14ac:dyDescent="0.25">
      <c r="A145" t="s">
        <v>23</v>
      </c>
      <c r="B145" t="s">
        <v>339</v>
      </c>
      <c r="C145" t="s">
        <v>25</v>
      </c>
      <c r="D145" t="s">
        <v>340</v>
      </c>
      <c r="E145" t="s">
        <v>341</v>
      </c>
      <c r="F145">
        <v>5</v>
      </c>
      <c r="G145">
        <v>0</v>
      </c>
      <c r="H145">
        <v>5</v>
      </c>
      <c r="I145" s="7">
        <v>0</v>
      </c>
      <c r="J145" s="7">
        <v>0</v>
      </c>
      <c r="K145" s="7">
        <f>Parametri!$B$6*I145+Parametri!$B$7*J145</f>
      </c>
      <c r="L145">
        <f>IF(K145&gt;=Parametri!$B$3,3,IF(K145&gt;=Parametri!$B$4,2,1))</f>
      </c>
      <c r="M145" t="s">
        <v>28</v>
      </c>
      <c r="N145" t="s">
        <v>29</v>
      </c>
    </row>
    <row r="146" spans="1:14" x14ac:dyDescent="0.25">
      <c r="A146" s="5" t="s">
        <v>23</v>
      </c>
      <c r="B146" s="5" t="s">
        <v>339</v>
      </c>
      <c r="C146" s="5" t="s">
        <v>25</v>
      </c>
      <c r="D146" s="5" t="s">
        <v>342</v>
      </c>
      <c r="E146" s="5" t="s">
        <v>343</v>
      </c>
      <c r="F146" s="5">
        <v>7</v>
      </c>
      <c r="G146" s="5">
        <v>0</v>
      </c>
      <c r="H146" s="5">
        <v>7</v>
      </c>
      <c r="I146" s="6">
        <v>1</v>
      </c>
      <c r="J146" s="6">
        <v>0</v>
      </c>
      <c r="K146" s="6">
        <f>Parametri!$B$6*I146+Parametri!$B$7*J146</f>
      </c>
      <c r="L146" s="5">
        <f>IF(K146&gt;=Parametri!$B$3,3,IF(K146&gt;=Parametri!$B$4,2,1))</f>
      </c>
      <c r="M146" s="5" t="s">
        <v>28</v>
      </c>
      <c r="N146" s="5" t="s">
        <v>29</v>
      </c>
    </row>
    <row r="147" spans="1:14" x14ac:dyDescent="0.25">
      <c r="A147" t="s">
        <v>23</v>
      </c>
      <c r="B147" t="s">
        <v>344</v>
      </c>
      <c r="C147" t="s">
        <v>25</v>
      </c>
      <c r="D147" t="s">
        <v>345</v>
      </c>
      <c r="E147" t="s">
        <v>346</v>
      </c>
      <c r="F147">
        <v>6</v>
      </c>
      <c r="G147">
        <v>1</v>
      </c>
      <c r="H147">
        <v>7</v>
      </c>
      <c r="I147" s="7">
        <v>1</v>
      </c>
      <c r="J147" s="7">
        <v>0</v>
      </c>
      <c r="K147" s="7">
        <f>Parametri!$B$6*I147+Parametri!$B$7*J147</f>
      </c>
      <c r="L147">
        <f>IF(K147&gt;=Parametri!$B$3,3,IF(K147&gt;=Parametri!$B$4,2,1))</f>
      </c>
      <c r="M147" t="s">
        <v>28</v>
      </c>
      <c r="N147" t="s">
        <v>29</v>
      </c>
    </row>
    <row r="148" spans="1:14" x14ac:dyDescent="0.25">
      <c r="A148" s="5" t="s">
        <v>23</v>
      </c>
      <c r="B148" s="5" t="s">
        <v>344</v>
      </c>
      <c r="C148" s="5" t="s">
        <v>25</v>
      </c>
      <c r="D148" s="5" t="s">
        <v>347</v>
      </c>
      <c r="E148" s="5" t="s">
        <v>93</v>
      </c>
      <c r="F148" s="5">
        <v>4</v>
      </c>
      <c r="G148" s="5">
        <v>1</v>
      </c>
      <c r="H148" s="5">
        <v>5</v>
      </c>
      <c r="I148" s="6">
        <v>0</v>
      </c>
      <c r="J148" s="6">
        <v>0</v>
      </c>
      <c r="K148" s="6">
        <f>Parametri!$B$6*I148+Parametri!$B$7*J148</f>
      </c>
      <c r="L148" s="5">
        <f>IF(K148&gt;=Parametri!$B$3,3,IF(K148&gt;=Parametri!$B$4,2,1))</f>
      </c>
      <c r="M148" s="5" t="s">
        <v>28</v>
      </c>
      <c r="N148" s="5" t="s">
        <v>29</v>
      </c>
    </row>
    <row r="149" spans="1:14" x14ac:dyDescent="0.25">
      <c r="A149" t="s">
        <v>23</v>
      </c>
      <c r="B149" t="s">
        <v>348</v>
      </c>
      <c r="C149" t="s">
        <v>75</v>
      </c>
      <c r="D149" t="s">
        <v>349</v>
      </c>
      <c r="E149" t="s">
        <v>350</v>
      </c>
      <c r="F149">
        <v>7</v>
      </c>
      <c r="G149">
        <v>12</v>
      </c>
      <c r="H149">
        <v>19</v>
      </c>
      <c r="I149" s="7">
        <v>0.26666666666666666</v>
      </c>
      <c r="J149" s="7">
        <v>0</v>
      </c>
      <c r="K149" s="7">
        <f>Parametri!$B$6*I149+Parametri!$B$7*J149</f>
      </c>
      <c r="L149">
        <f>IF(K149&gt;=Parametri!$B$3,3,IF(K149&gt;=Parametri!$B$4,2,1))</f>
      </c>
      <c r="M149" t="s">
        <v>28</v>
      </c>
      <c r="N149" t="s">
        <v>29</v>
      </c>
    </row>
    <row r="150" spans="1:14" x14ac:dyDescent="0.25">
      <c r="A150" s="5" t="s">
        <v>23</v>
      </c>
      <c r="B150" s="5" t="s">
        <v>348</v>
      </c>
      <c r="C150" s="5" t="s">
        <v>75</v>
      </c>
      <c r="D150" s="5" t="s">
        <v>351</v>
      </c>
      <c r="E150" s="5" t="s">
        <v>352</v>
      </c>
      <c r="F150" s="5">
        <v>9</v>
      </c>
      <c r="G150" s="5">
        <v>5</v>
      </c>
      <c r="H150" s="5">
        <v>14</v>
      </c>
      <c r="I150" s="6">
        <v>0.4</v>
      </c>
      <c r="J150" s="6">
        <v>0.4666666666666667</v>
      </c>
      <c r="K150" s="6">
        <f>Parametri!$B$6*I150+Parametri!$B$7*J150</f>
      </c>
      <c r="L150" s="5">
        <f>IF(K150&gt;=Parametri!$B$3,3,IF(K150&gt;=Parametri!$B$4,2,1))</f>
      </c>
      <c r="M150" s="5" t="s">
        <v>28</v>
      </c>
      <c r="N150" s="5" t="s">
        <v>29</v>
      </c>
    </row>
    <row r="151" spans="1:14" x14ac:dyDescent="0.25">
      <c r="A151" t="s">
        <v>23</v>
      </c>
      <c r="B151" t="s">
        <v>348</v>
      </c>
      <c r="C151" t="s">
        <v>75</v>
      </c>
      <c r="D151" t="s">
        <v>353</v>
      </c>
      <c r="E151" t="s">
        <v>354</v>
      </c>
      <c r="F151">
        <v>7</v>
      </c>
      <c r="G151">
        <v>3</v>
      </c>
      <c r="H151">
        <v>10</v>
      </c>
      <c r="I151" s="7">
        <v>0.26666666666666666</v>
      </c>
      <c r="J151" s="7">
        <v>0.8666666666666667</v>
      </c>
      <c r="K151" s="7">
        <f>Parametri!$B$6*I151+Parametri!$B$7*J151</f>
      </c>
      <c r="L151">
        <f>IF(K151&gt;=Parametri!$B$3,3,IF(K151&gt;=Parametri!$B$4,2,1))</f>
      </c>
      <c r="M151" t="s">
        <v>28</v>
      </c>
      <c r="N151" t="s">
        <v>29</v>
      </c>
    </row>
    <row r="152" spans="1:14" x14ac:dyDescent="0.25">
      <c r="A152" s="5" t="s">
        <v>23</v>
      </c>
      <c r="B152" s="5" t="s">
        <v>348</v>
      </c>
      <c r="C152" s="5" t="s">
        <v>75</v>
      </c>
      <c r="D152" s="5" t="s">
        <v>355</v>
      </c>
      <c r="E152" s="5" t="s">
        <v>356</v>
      </c>
      <c r="F152" s="5">
        <v>13</v>
      </c>
      <c r="G152" s="5">
        <v>4</v>
      </c>
      <c r="H152" s="5">
        <v>17</v>
      </c>
      <c r="I152" s="6">
        <v>0.9333333333333333</v>
      </c>
      <c r="J152" s="6">
        <v>0.6666666666666667</v>
      </c>
      <c r="K152" s="6">
        <f>Parametri!$B$6*I152+Parametri!$B$7*J152</f>
      </c>
      <c r="L152" s="5">
        <f>IF(K152&gt;=Parametri!$B$3,3,IF(K152&gt;=Parametri!$B$4,2,1))</f>
      </c>
      <c r="M152" s="5" t="s">
        <v>28</v>
      </c>
      <c r="N152" s="5" t="s">
        <v>29</v>
      </c>
    </row>
    <row r="153" spans="1:14" x14ac:dyDescent="0.25">
      <c r="A153" t="s">
        <v>23</v>
      </c>
      <c r="B153" t="s">
        <v>348</v>
      </c>
      <c r="C153" t="s">
        <v>75</v>
      </c>
      <c r="D153" t="s">
        <v>357</v>
      </c>
      <c r="E153" t="s">
        <v>358</v>
      </c>
      <c r="F153">
        <v>11</v>
      </c>
      <c r="G153">
        <v>8</v>
      </c>
      <c r="H153">
        <v>19</v>
      </c>
      <c r="I153" s="7">
        <v>0.7333333333333333</v>
      </c>
      <c r="J153" s="7">
        <v>0.06666666666666665</v>
      </c>
      <c r="K153" s="7">
        <f>Parametri!$B$6*I153+Parametri!$B$7*J153</f>
      </c>
      <c r="L153">
        <f>IF(K153&gt;=Parametri!$B$3,3,IF(K153&gt;=Parametri!$B$4,2,1))</f>
      </c>
      <c r="M153" t="s">
        <v>28</v>
      </c>
      <c r="N153" t="s">
        <v>29</v>
      </c>
    </row>
    <row r="154" spans="1:14" x14ac:dyDescent="0.25">
      <c r="A154" s="5" t="s">
        <v>23</v>
      </c>
      <c r="B154" s="5" t="s">
        <v>348</v>
      </c>
      <c r="C154" s="5" t="s">
        <v>75</v>
      </c>
      <c r="D154" s="5" t="s">
        <v>359</v>
      </c>
      <c r="E154" s="5" t="s">
        <v>360</v>
      </c>
      <c r="F154" s="5">
        <v>9</v>
      </c>
      <c r="G154" s="5">
        <v>7</v>
      </c>
      <c r="H154" s="5">
        <v>16</v>
      </c>
      <c r="I154" s="6">
        <v>0.4</v>
      </c>
      <c r="J154" s="6">
        <v>0.1333333333333333</v>
      </c>
      <c r="K154" s="6">
        <f>Parametri!$B$6*I154+Parametri!$B$7*J154</f>
      </c>
      <c r="L154" s="5">
        <f>IF(K154&gt;=Parametri!$B$3,3,IF(K154&gt;=Parametri!$B$4,2,1))</f>
      </c>
      <c r="M154" s="5" t="s">
        <v>28</v>
      </c>
      <c r="N154" s="5" t="s">
        <v>29</v>
      </c>
    </row>
    <row r="155" spans="1:14" x14ac:dyDescent="0.25">
      <c r="A155" t="s">
        <v>23</v>
      </c>
      <c r="B155" t="s">
        <v>348</v>
      </c>
      <c r="C155" t="s">
        <v>75</v>
      </c>
      <c r="D155" t="s">
        <v>361</v>
      </c>
      <c r="E155" t="s">
        <v>362</v>
      </c>
      <c r="F155">
        <v>6</v>
      </c>
      <c r="G155">
        <v>7</v>
      </c>
      <c r="H155">
        <v>13</v>
      </c>
      <c r="I155" s="7">
        <v>0.13333333333333333</v>
      </c>
      <c r="J155" s="7">
        <v>0.1333333333333333</v>
      </c>
      <c r="K155" s="7">
        <f>Parametri!$B$6*I155+Parametri!$B$7*J155</f>
      </c>
      <c r="L155">
        <f>IF(K155&gt;=Parametri!$B$3,3,IF(K155&gt;=Parametri!$B$4,2,1))</f>
      </c>
      <c r="M155" t="s">
        <v>28</v>
      </c>
      <c r="N155" t="s">
        <v>29</v>
      </c>
    </row>
    <row r="156" spans="1:14" x14ac:dyDescent="0.25">
      <c r="A156" s="5" t="s">
        <v>23</v>
      </c>
      <c r="B156" s="5" t="s">
        <v>348</v>
      </c>
      <c r="C156" s="5" t="s">
        <v>75</v>
      </c>
      <c r="D156" s="5" t="s">
        <v>363</v>
      </c>
      <c r="E156" s="5" t="s">
        <v>364</v>
      </c>
      <c r="F156" s="5">
        <v>6</v>
      </c>
      <c r="G156" s="5">
        <v>4</v>
      </c>
      <c r="H156" s="5">
        <v>10</v>
      </c>
      <c r="I156" s="6">
        <v>0.13333333333333333</v>
      </c>
      <c r="J156" s="6">
        <v>0.6666666666666667</v>
      </c>
      <c r="K156" s="6">
        <f>Parametri!$B$6*I156+Parametri!$B$7*J156</f>
      </c>
      <c r="L156" s="5">
        <f>IF(K156&gt;=Parametri!$B$3,3,IF(K156&gt;=Parametri!$B$4,2,1))</f>
      </c>
      <c r="M156" s="5" t="s">
        <v>28</v>
      </c>
      <c r="N156" s="5" t="s">
        <v>29</v>
      </c>
    </row>
    <row r="157" spans="1:14" x14ac:dyDescent="0.25">
      <c r="A157" t="s">
        <v>23</v>
      </c>
      <c r="B157" t="s">
        <v>348</v>
      </c>
      <c r="C157" t="s">
        <v>75</v>
      </c>
      <c r="D157" t="s">
        <v>365</v>
      </c>
      <c r="E157" t="s">
        <v>366</v>
      </c>
      <c r="F157">
        <v>10</v>
      </c>
      <c r="G157">
        <v>5</v>
      </c>
      <c r="H157">
        <v>15</v>
      </c>
      <c r="I157" s="7">
        <v>0.5333333333333333</v>
      </c>
      <c r="J157" s="7">
        <v>0.4666666666666667</v>
      </c>
      <c r="K157" s="7">
        <f>Parametri!$B$6*I157+Parametri!$B$7*J157</f>
      </c>
      <c r="L157">
        <f>IF(K157&gt;=Parametri!$B$3,3,IF(K157&gt;=Parametri!$B$4,2,1))</f>
      </c>
      <c r="M157" t="s">
        <v>28</v>
      </c>
      <c r="N157" t="s">
        <v>29</v>
      </c>
    </row>
    <row r="158" spans="1:14" x14ac:dyDescent="0.25">
      <c r="A158" s="5" t="s">
        <v>23</v>
      </c>
      <c r="B158" s="5" t="s">
        <v>348</v>
      </c>
      <c r="C158" s="5" t="s">
        <v>75</v>
      </c>
      <c r="D158" s="5" t="s">
        <v>367</v>
      </c>
      <c r="E158" s="5" t="s">
        <v>368</v>
      </c>
      <c r="F158" s="5">
        <v>13</v>
      </c>
      <c r="G158" s="5">
        <v>3</v>
      </c>
      <c r="H158" s="5">
        <v>16</v>
      </c>
      <c r="I158" s="6">
        <v>0.9333333333333333</v>
      </c>
      <c r="J158" s="6">
        <v>0.8666666666666667</v>
      </c>
      <c r="K158" s="6">
        <f>Parametri!$B$6*I158+Parametri!$B$7*J158</f>
      </c>
      <c r="L158" s="5">
        <f>IF(K158&gt;=Parametri!$B$3,3,IF(K158&gt;=Parametri!$B$4,2,1))</f>
      </c>
      <c r="M158" s="5" t="s">
        <v>28</v>
      </c>
      <c r="N158" s="5" t="s">
        <v>29</v>
      </c>
    </row>
    <row r="159" spans="1:14" x14ac:dyDescent="0.25">
      <c r="A159" t="s">
        <v>23</v>
      </c>
      <c r="B159" t="s">
        <v>348</v>
      </c>
      <c r="C159" t="s">
        <v>75</v>
      </c>
      <c r="D159" t="s">
        <v>369</v>
      </c>
      <c r="E159" t="s">
        <v>370</v>
      </c>
      <c r="F159">
        <v>11</v>
      </c>
      <c r="G159">
        <v>5</v>
      </c>
      <c r="H159">
        <v>16</v>
      </c>
      <c r="I159" s="7">
        <v>0.7333333333333333</v>
      </c>
      <c r="J159" s="7">
        <v>0.4666666666666667</v>
      </c>
      <c r="K159" s="7">
        <f>Parametri!$B$6*I159+Parametri!$B$7*J159</f>
      </c>
      <c r="L159">
        <f>IF(K159&gt;=Parametri!$B$3,3,IF(K159&gt;=Parametri!$B$4,2,1))</f>
      </c>
      <c r="M159" t="s">
        <v>28</v>
      </c>
      <c r="N159" t="s">
        <v>29</v>
      </c>
    </row>
    <row r="160" spans="1:14" x14ac:dyDescent="0.25">
      <c r="A160" s="5" t="s">
        <v>23</v>
      </c>
      <c r="B160" s="5" t="s">
        <v>348</v>
      </c>
      <c r="C160" s="5" t="s">
        <v>75</v>
      </c>
      <c r="D160" s="5" t="s">
        <v>371</v>
      </c>
      <c r="E160" s="5" t="s">
        <v>372</v>
      </c>
      <c r="F160" s="5">
        <v>11</v>
      </c>
      <c r="G160" s="5">
        <v>2</v>
      </c>
      <c r="H160" s="5">
        <v>13</v>
      </c>
      <c r="I160" s="6">
        <v>0.7333333333333333</v>
      </c>
      <c r="J160" s="6">
        <v>1</v>
      </c>
      <c r="K160" s="6">
        <f>Parametri!$B$6*I160+Parametri!$B$7*J160</f>
      </c>
      <c r="L160" s="5">
        <f>IF(K160&gt;=Parametri!$B$3,3,IF(K160&gt;=Parametri!$B$4,2,1))</f>
      </c>
      <c r="M160" s="5" t="s">
        <v>28</v>
      </c>
      <c r="N160" s="5" t="s">
        <v>29</v>
      </c>
    </row>
    <row r="161" spans="1:14" x14ac:dyDescent="0.25">
      <c r="A161" t="s">
        <v>23</v>
      </c>
      <c r="B161" t="s">
        <v>348</v>
      </c>
      <c r="C161" t="s">
        <v>75</v>
      </c>
      <c r="D161" t="s">
        <v>373</v>
      </c>
      <c r="E161" t="s">
        <v>374</v>
      </c>
      <c r="F161">
        <v>13</v>
      </c>
      <c r="G161">
        <v>6</v>
      </c>
      <c r="H161">
        <v>19</v>
      </c>
      <c r="I161" s="7">
        <v>0.9333333333333333</v>
      </c>
      <c r="J161" s="7">
        <v>0.33333333333333337</v>
      </c>
      <c r="K161" s="7">
        <f>Parametri!$B$6*I161+Parametri!$B$7*J161</f>
      </c>
      <c r="L161">
        <f>IF(K161&gt;=Parametri!$B$3,3,IF(K161&gt;=Parametri!$B$4,2,1))</f>
      </c>
      <c r="M161" t="s">
        <v>28</v>
      </c>
      <c r="N161" t="s">
        <v>29</v>
      </c>
    </row>
    <row r="162" spans="1:14" x14ac:dyDescent="0.25">
      <c r="A162" s="5" t="s">
        <v>23</v>
      </c>
      <c r="B162" s="5" t="s">
        <v>348</v>
      </c>
      <c r="C162" s="5" t="s">
        <v>75</v>
      </c>
      <c r="D162" s="5" t="s">
        <v>375</v>
      </c>
      <c r="E162" s="5" t="s">
        <v>376</v>
      </c>
      <c r="F162" s="5">
        <v>10</v>
      </c>
      <c r="G162" s="5">
        <v>4</v>
      </c>
      <c r="H162" s="5">
        <v>14</v>
      </c>
      <c r="I162" s="6">
        <v>0.5333333333333333</v>
      </c>
      <c r="J162" s="6">
        <v>0.6666666666666667</v>
      </c>
      <c r="K162" s="6">
        <f>Parametri!$B$6*I162+Parametri!$B$7*J162</f>
      </c>
      <c r="L162" s="5">
        <f>IF(K162&gt;=Parametri!$B$3,3,IF(K162&gt;=Parametri!$B$4,2,1))</f>
      </c>
      <c r="M162" s="5" t="s">
        <v>28</v>
      </c>
      <c r="N162" s="5" t="s">
        <v>29</v>
      </c>
    </row>
    <row r="163" spans="1:14" x14ac:dyDescent="0.25">
      <c r="A163" t="s">
        <v>23</v>
      </c>
      <c r="B163" t="s">
        <v>348</v>
      </c>
      <c r="C163" t="s">
        <v>75</v>
      </c>
      <c r="D163" t="s">
        <v>377</v>
      </c>
      <c r="E163" t="s">
        <v>378</v>
      </c>
      <c r="F163">
        <v>5</v>
      </c>
      <c r="G163">
        <v>7</v>
      </c>
      <c r="H163">
        <v>12</v>
      </c>
      <c r="I163" s="7">
        <v>0</v>
      </c>
      <c r="J163" s="7">
        <v>0.1333333333333333</v>
      </c>
      <c r="K163" s="7">
        <f>Parametri!$B$6*I163+Parametri!$B$7*J163</f>
      </c>
      <c r="L163">
        <f>IF(K163&gt;=Parametri!$B$3,3,IF(K163&gt;=Parametri!$B$4,2,1))</f>
      </c>
      <c r="M163" t="s">
        <v>28</v>
      </c>
      <c r="N163" t="s">
        <v>29</v>
      </c>
    </row>
    <row r="164" spans="1:14" x14ac:dyDescent="0.25">
      <c r="A164" s="5" t="s">
        <v>23</v>
      </c>
      <c r="B164" s="5" t="s">
        <v>348</v>
      </c>
      <c r="C164" s="5" t="s">
        <v>75</v>
      </c>
      <c r="D164" s="5" t="s">
        <v>379</v>
      </c>
      <c r="E164" s="5" t="s">
        <v>380</v>
      </c>
      <c r="F164" s="5">
        <v>14</v>
      </c>
      <c r="G164" s="5">
        <v>6</v>
      </c>
      <c r="H164" s="5">
        <v>20</v>
      </c>
      <c r="I164" s="6">
        <v>1</v>
      </c>
      <c r="J164" s="6">
        <v>0.33333333333333337</v>
      </c>
      <c r="K164" s="6">
        <f>Parametri!$B$6*I164+Parametri!$B$7*J164</f>
      </c>
      <c r="L164" s="5">
        <f>IF(K164&gt;=Parametri!$B$3,3,IF(K164&gt;=Parametri!$B$4,2,1))</f>
      </c>
      <c r="M164" s="5" t="s">
        <v>28</v>
      </c>
      <c r="N164" s="5" t="s">
        <v>29</v>
      </c>
    </row>
    <row r="165" spans="1:14" x14ac:dyDescent="0.25">
      <c r="A165" t="s">
        <v>23</v>
      </c>
      <c r="B165" t="s">
        <v>381</v>
      </c>
      <c r="C165" t="s">
        <v>25</v>
      </c>
      <c r="D165" t="s">
        <v>382</v>
      </c>
      <c r="E165" t="s">
        <v>165</v>
      </c>
      <c r="F165">
        <v>4</v>
      </c>
      <c r="G165">
        <v>2</v>
      </c>
      <c r="H165">
        <v>6</v>
      </c>
      <c r="I165" s="7">
        <v>1</v>
      </c>
      <c r="J165" s="7">
        <v>0</v>
      </c>
      <c r="K165" s="7">
        <f>Parametri!$B$6*I165+Parametri!$B$7*J165</f>
      </c>
      <c r="L165">
        <f>IF(K165&gt;=Parametri!$B$3,3,IF(K165&gt;=Parametri!$B$4,2,1))</f>
      </c>
      <c r="M165" t="s">
        <v>28</v>
      </c>
      <c r="N165" t="s">
        <v>29</v>
      </c>
    </row>
    <row r="166" spans="1:14" x14ac:dyDescent="0.25">
      <c r="A166" s="8" t="s">
        <v>23</v>
      </c>
      <c r="B166" s="8" t="s">
        <v>381</v>
      </c>
      <c r="C166" s="8" t="s">
        <v>25</v>
      </c>
      <c r="D166" s="8" t="s">
        <v>383</v>
      </c>
      <c r="E166" s="8" t="s">
        <v>384</v>
      </c>
      <c r="F166" s="8">
        <v>4</v>
      </c>
      <c r="G166" s="8">
        <v>0</v>
      </c>
      <c r="H166" s="8">
        <v>4</v>
      </c>
      <c r="I166" s="8" t="s">
        <v>55</v>
      </c>
      <c r="J166" s="8" t="s">
        <v>55</v>
      </c>
      <c r="K166" s="8" t="s">
        <v>55</v>
      </c>
      <c r="L166" s="8" t="s">
        <v>56</v>
      </c>
      <c r="M166" s="8" t="s">
        <v>28</v>
      </c>
      <c r="N166" s="8" t="s">
        <v>56</v>
      </c>
    </row>
    <row r="167" spans="1:14" x14ac:dyDescent="0.25">
      <c r="A167" t="s">
        <v>23</v>
      </c>
      <c r="B167" t="s">
        <v>385</v>
      </c>
      <c r="C167" t="s">
        <v>25</v>
      </c>
      <c r="D167" t="s">
        <v>386</v>
      </c>
      <c r="E167" t="s">
        <v>387</v>
      </c>
      <c r="F167">
        <v>6</v>
      </c>
      <c r="G167">
        <v>0</v>
      </c>
      <c r="H167">
        <v>6</v>
      </c>
      <c r="I167" s="7">
        <v>1</v>
      </c>
      <c r="J167" s="7">
        <v>0</v>
      </c>
      <c r="K167" s="7">
        <f>Parametri!$B$6*I167+Parametri!$B$7*J167</f>
      </c>
      <c r="L167">
        <f>IF(K167&gt;=Parametri!$B$3,3,IF(K167&gt;=Parametri!$B$4,2,1))</f>
      </c>
      <c r="M167" t="s">
        <v>28</v>
      </c>
      <c r="N167" t="s">
        <v>29</v>
      </c>
    </row>
    <row r="168" spans="1:14" x14ac:dyDescent="0.25">
      <c r="A168" s="8" t="s">
        <v>23</v>
      </c>
      <c r="B168" s="8" t="s">
        <v>385</v>
      </c>
      <c r="C168" s="8" t="s">
        <v>25</v>
      </c>
      <c r="D168" s="8" t="s">
        <v>388</v>
      </c>
      <c r="E168" s="8" t="s">
        <v>389</v>
      </c>
      <c r="F168" s="8">
        <v>4</v>
      </c>
      <c r="G168" s="8">
        <v>0</v>
      </c>
      <c r="H168" s="8">
        <v>4</v>
      </c>
      <c r="I168" s="8" t="s">
        <v>55</v>
      </c>
      <c r="J168" s="8" t="s">
        <v>55</v>
      </c>
      <c r="K168" s="8" t="s">
        <v>55</v>
      </c>
      <c r="L168" s="8" t="s">
        <v>56</v>
      </c>
      <c r="M168" s="8" t="s">
        <v>28</v>
      </c>
      <c r="N168" s="8" t="s">
        <v>56</v>
      </c>
    </row>
    <row r="169" spans="1:14" x14ac:dyDescent="0.25">
      <c r="A169" t="s">
        <v>23</v>
      </c>
      <c r="B169" t="s">
        <v>390</v>
      </c>
      <c r="C169" t="s">
        <v>75</v>
      </c>
      <c r="D169" t="s">
        <v>391</v>
      </c>
      <c r="E169" t="s">
        <v>392</v>
      </c>
      <c r="F169">
        <v>11</v>
      </c>
      <c r="G169">
        <v>10</v>
      </c>
      <c r="H169">
        <v>21</v>
      </c>
      <c r="I169" s="7">
        <v>0</v>
      </c>
      <c r="J169" s="7">
        <v>0</v>
      </c>
      <c r="K169" s="7">
        <f>Parametri!$B$6*I169+Parametri!$B$7*J169</f>
      </c>
      <c r="L169">
        <f>IF(K169&gt;=Parametri!$B$3,3,IF(K169&gt;=Parametri!$B$4,2,1))</f>
      </c>
      <c r="M169" t="s">
        <v>28</v>
      </c>
      <c r="N169" t="s">
        <v>29</v>
      </c>
    </row>
    <row r="170" spans="1:14" x14ac:dyDescent="0.25">
      <c r="A170" s="5" t="s">
        <v>23</v>
      </c>
      <c r="B170" s="5" t="s">
        <v>390</v>
      </c>
      <c r="C170" s="5" t="s">
        <v>75</v>
      </c>
      <c r="D170" s="5" t="s">
        <v>393</v>
      </c>
      <c r="E170" s="5" t="s">
        <v>287</v>
      </c>
      <c r="F170" s="5">
        <v>16</v>
      </c>
      <c r="G170" s="5">
        <v>3</v>
      </c>
      <c r="H170" s="5">
        <v>19</v>
      </c>
      <c r="I170" s="6">
        <v>0.5185185185185185</v>
      </c>
      <c r="J170" s="6">
        <v>0.2222222222222222</v>
      </c>
      <c r="K170" s="6">
        <f>Parametri!$B$6*I170+Parametri!$B$7*J170</f>
      </c>
      <c r="L170" s="5">
        <f>IF(K170&gt;=Parametri!$B$3,3,IF(K170&gt;=Parametri!$B$4,2,1))</f>
      </c>
      <c r="M170" s="5" t="s">
        <v>28</v>
      </c>
      <c r="N170" s="5" t="s">
        <v>29</v>
      </c>
    </row>
    <row r="171" spans="1:14" x14ac:dyDescent="0.25">
      <c r="A171" t="s">
        <v>23</v>
      </c>
      <c r="B171" t="s">
        <v>390</v>
      </c>
      <c r="C171" t="s">
        <v>75</v>
      </c>
      <c r="D171" t="s">
        <v>394</v>
      </c>
      <c r="E171" t="s">
        <v>395</v>
      </c>
      <c r="F171">
        <v>24</v>
      </c>
      <c r="G171">
        <v>1</v>
      </c>
      <c r="H171">
        <v>25</v>
      </c>
      <c r="I171" s="7">
        <v>0.9629629629629629</v>
      </c>
      <c r="J171" s="7">
        <v>0.7407407407407407</v>
      </c>
      <c r="K171" s="7">
        <f>Parametri!$B$6*I171+Parametri!$B$7*J171</f>
      </c>
      <c r="L171">
        <f>IF(K171&gt;=Parametri!$B$3,3,IF(K171&gt;=Parametri!$B$4,2,1))</f>
      </c>
      <c r="M171" t="s">
        <v>28</v>
      </c>
      <c r="N171" t="s">
        <v>29</v>
      </c>
    </row>
    <row r="172" spans="1:14" x14ac:dyDescent="0.25">
      <c r="A172" s="5" t="s">
        <v>23</v>
      </c>
      <c r="B172" s="5" t="s">
        <v>390</v>
      </c>
      <c r="C172" s="5" t="s">
        <v>75</v>
      </c>
      <c r="D172" s="5" t="s">
        <v>396</v>
      </c>
      <c r="E172" s="5" t="s">
        <v>397</v>
      </c>
      <c r="F172" s="5">
        <v>25</v>
      </c>
      <c r="G172" s="5">
        <v>3</v>
      </c>
      <c r="H172" s="5">
        <v>28</v>
      </c>
      <c r="I172" s="6">
        <v>1</v>
      </c>
      <c r="J172" s="6">
        <v>0.2222222222222222</v>
      </c>
      <c r="K172" s="6">
        <f>Parametri!$B$6*I172+Parametri!$B$7*J172</f>
      </c>
      <c r="L172" s="5">
        <f>IF(K172&gt;=Parametri!$B$3,3,IF(K172&gt;=Parametri!$B$4,2,1))</f>
      </c>
      <c r="M172" s="5" t="s">
        <v>28</v>
      </c>
      <c r="N172" s="5" t="s">
        <v>29</v>
      </c>
    </row>
    <row r="173" spans="1:14" x14ac:dyDescent="0.25">
      <c r="A173" t="s">
        <v>23</v>
      </c>
      <c r="B173" t="s">
        <v>390</v>
      </c>
      <c r="C173" t="s">
        <v>75</v>
      </c>
      <c r="D173" t="s">
        <v>398</v>
      </c>
      <c r="E173" t="s">
        <v>399</v>
      </c>
      <c r="F173">
        <v>20</v>
      </c>
      <c r="G173">
        <v>2</v>
      </c>
      <c r="H173">
        <v>22</v>
      </c>
      <c r="I173" s="7">
        <v>0.8518518518518519</v>
      </c>
      <c r="J173" s="7">
        <v>0.5185185185185186</v>
      </c>
      <c r="K173" s="7">
        <f>Parametri!$B$6*I173+Parametri!$B$7*J173</f>
      </c>
      <c r="L173">
        <f>IF(K173&gt;=Parametri!$B$3,3,IF(K173&gt;=Parametri!$B$4,2,1))</f>
      </c>
      <c r="M173" t="s">
        <v>28</v>
      </c>
      <c r="N173" t="s">
        <v>29</v>
      </c>
    </row>
    <row r="174" spans="1:14" x14ac:dyDescent="0.25">
      <c r="A174" s="5" t="s">
        <v>23</v>
      </c>
      <c r="B174" s="5" t="s">
        <v>390</v>
      </c>
      <c r="C174" s="5" t="s">
        <v>75</v>
      </c>
      <c r="D174" s="5" t="s">
        <v>400</v>
      </c>
      <c r="E174" s="5" t="s">
        <v>401</v>
      </c>
      <c r="F174" s="5">
        <v>17</v>
      </c>
      <c r="G174" s="5">
        <v>2</v>
      </c>
      <c r="H174" s="5">
        <v>19</v>
      </c>
      <c r="I174" s="6">
        <v>0.5925925925925926</v>
      </c>
      <c r="J174" s="6">
        <v>0.5185185185185186</v>
      </c>
      <c r="K174" s="6">
        <f>Parametri!$B$6*I174+Parametri!$B$7*J174</f>
      </c>
      <c r="L174" s="5">
        <f>IF(K174&gt;=Parametri!$B$3,3,IF(K174&gt;=Parametri!$B$4,2,1))</f>
      </c>
      <c r="M174" s="5" t="s">
        <v>28</v>
      </c>
      <c r="N174" s="5" t="s">
        <v>29</v>
      </c>
    </row>
    <row r="175" spans="1:14" x14ac:dyDescent="0.25">
      <c r="A175" t="s">
        <v>23</v>
      </c>
      <c r="B175" t="s">
        <v>390</v>
      </c>
      <c r="C175" t="s">
        <v>75</v>
      </c>
      <c r="D175" t="s">
        <v>402</v>
      </c>
      <c r="E175" t="s">
        <v>403</v>
      </c>
      <c r="F175">
        <v>15</v>
      </c>
      <c r="G175">
        <v>3</v>
      </c>
      <c r="H175">
        <v>18</v>
      </c>
      <c r="I175" s="7">
        <v>0.4444444444444444</v>
      </c>
      <c r="J175" s="7">
        <v>0.2222222222222222</v>
      </c>
      <c r="K175" s="7">
        <f>Parametri!$B$6*I175+Parametri!$B$7*J175</f>
      </c>
      <c r="L175">
        <f>IF(K175&gt;=Parametri!$B$3,3,IF(K175&gt;=Parametri!$B$4,2,1))</f>
      </c>
      <c r="M175" t="s">
        <v>28</v>
      </c>
      <c r="N175" t="s">
        <v>29</v>
      </c>
    </row>
    <row r="176" spans="1:14" x14ac:dyDescent="0.25">
      <c r="A176" s="5" t="s">
        <v>23</v>
      </c>
      <c r="B176" s="5" t="s">
        <v>390</v>
      </c>
      <c r="C176" s="5" t="s">
        <v>75</v>
      </c>
      <c r="D176" s="5" t="s">
        <v>404</v>
      </c>
      <c r="E176" s="5" t="s">
        <v>405</v>
      </c>
      <c r="F176" s="5">
        <v>21</v>
      </c>
      <c r="G176" s="5">
        <v>2</v>
      </c>
      <c r="H176" s="5">
        <v>23</v>
      </c>
      <c r="I176" s="6">
        <v>0.8888888888888888</v>
      </c>
      <c r="J176" s="6">
        <v>0.5185185185185186</v>
      </c>
      <c r="K176" s="6">
        <f>Parametri!$B$6*I176+Parametri!$B$7*J176</f>
      </c>
      <c r="L176" s="5">
        <f>IF(K176&gt;=Parametri!$B$3,3,IF(K176&gt;=Parametri!$B$4,2,1))</f>
      </c>
      <c r="M176" s="5" t="s">
        <v>28</v>
      </c>
      <c r="N176" s="5" t="s">
        <v>29</v>
      </c>
    </row>
    <row r="177" spans="1:14" x14ac:dyDescent="0.25">
      <c r="A177" t="s">
        <v>23</v>
      </c>
      <c r="B177" t="s">
        <v>390</v>
      </c>
      <c r="C177" t="s">
        <v>75</v>
      </c>
      <c r="D177" t="s">
        <v>406</v>
      </c>
      <c r="E177" t="s">
        <v>407</v>
      </c>
      <c r="F177">
        <v>15</v>
      </c>
      <c r="G177">
        <v>4</v>
      </c>
      <c r="H177">
        <v>19</v>
      </c>
      <c r="I177" s="7">
        <v>0.4444444444444444</v>
      </c>
      <c r="J177" s="7">
        <v>0.07407407407407407</v>
      </c>
      <c r="K177" s="7">
        <f>Parametri!$B$6*I177+Parametri!$B$7*J177</f>
      </c>
      <c r="L177">
        <f>IF(K177&gt;=Parametri!$B$3,3,IF(K177&gt;=Parametri!$B$4,2,1))</f>
      </c>
      <c r="M177" t="s">
        <v>28</v>
      </c>
      <c r="N177" t="s">
        <v>29</v>
      </c>
    </row>
    <row r="178" spans="1:14" x14ac:dyDescent="0.25">
      <c r="A178" s="5" t="s">
        <v>23</v>
      </c>
      <c r="B178" s="5" t="s">
        <v>390</v>
      </c>
      <c r="C178" s="5" t="s">
        <v>75</v>
      </c>
      <c r="D178" s="5" t="s">
        <v>408</v>
      </c>
      <c r="E178" s="5" t="s">
        <v>409</v>
      </c>
      <c r="F178" s="5">
        <v>15</v>
      </c>
      <c r="G178" s="5">
        <v>3</v>
      </c>
      <c r="H178" s="5">
        <v>18</v>
      </c>
      <c r="I178" s="6">
        <v>0.4444444444444444</v>
      </c>
      <c r="J178" s="6">
        <v>0.2222222222222222</v>
      </c>
      <c r="K178" s="6">
        <f>Parametri!$B$6*I178+Parametri!$B$7*J178</f>
      </c>
      <c r="L178" s="5">
        <f>IF(K178&gt;=Parametri!$B$3,3,IF(K178&gt;=Parametri!$B$4,2,1))</f>
      </c>
      <c r="M178" s="5" t="s">
        <v>28</v>
      </c>
      <c r="N178" s="5" t="s">
        <v>29</v>
      </c>
    </row>
    <row r="179" spans="1:14" x14ac:dyDescent="0.25">
      <c r="A179" t="s">
        <v>23</v>
      </c>
      <c r="B179" t="s">
        <v>390</v>
      </c>
      <c r="C179" t="s">
        <v>75</v>
      </c>
      <c r="D179" t="s">
        <v>410</v>
      </c>
      <c r="E179" t="s">
        <v>411</v>
      </c>
      <c r="F179">
        <v>18</v>
      </c>
      <c r="G179">
        <v>4</v>
      </c>
      <c r="H179">
        <v>22</v>
      </c>
      <c r="I179" s="7">
        <v>0.6296296296296297</v>
      </c>
      <c r="J179" s="7">
        <v>0.07407407407407407</v>
      </c>
      <c r="K179" s="7">
        <f>Parametri!$B$6*I179+Parametri!$B$7*J179</f>
      </c>
      <c r="L179">
        <f>IF(K179&gt;=Parametri!$B$3,3,IF(K179&gt;=Parametri!$B$4,2,1))</f>
      </c>
      <c r="M179" t="s">
        <v>28</v>
      </c>
      <c r="N179" t="s">
        <v>29</v>
      </c>
    </row>
    <row r="180" spans="1:14" x14ac:dyDescent="0.25">
      <c r="A180" s="5" t="s">
        <v>23</v>
      </c>
      <c r="B180" s="5" t="s">
        <v>390</v>
      </c>
      <c r="C180" s="5" t="s">
        <v>75</v>
      </c>
      <c r="D180" s="5" t="s">
        <v>412</v>
      </c>
      <c r="E180" s="5" t="s">
        <v>413</v>
      </c>
      <c r="F180" s="5">
        <v>15</v>
      </c>
      <c r="G180" s="5">
        <v>3</v>
      </c>
      <c r="H180" s="5">
        <v>18</v>
      </c>
      <c r="I180" s="6">
        <v>0.4444444444444444</v>
      </c>
      <c r="J180" s="6">
        <v>0.2222222222222222</v>
      </c>
      <c r="K180" s="6">
        <f>Parametri!$B$6*I180+Parametri!$B$7*J180</f>
      </c>
      <c r="L180" s="5">
        <f>IF(K180&gt;=Parametri!$B$3,3,IF(K180&gt;=Parametri!$B$4,2,1))</f>
      </c>
      <c r="M180" s="5" t="s">
        <v>28</v>
      </c>
      <c r="N180" s="5" t="s">
        <v>29</v>
      </c>
    </row>
    <row r="181" spans="1:14" x14ac:dyDescent="0.25">
      <c r="A181" t="s">
        <v>23</v>
      </c>
      <c r="B181" t="s">
        <v>390</v>
      </c>
      <c r="C181" t="s">
        <v>75</v>
      </c>
      <c r="D181" t="s">
        <v>414</v>
      </c>
      <c r="E181" t="s">
        <v>415</v>
      </c>
      <c r="F181">
        <v>14</v>
      </c>
      <c r="G181">
        <v>3</v>
      </c>
      <c r="H181">
        <v>17</v>
      </c>
      <c r="I181" s="7">
        <v>0.2222222222222222</v>
      </c>
      <c r="J181" s="7">
        <v>0.2222222222222222</v>
      </c>
      <c r="K181" s="7">
        <f>Parametri!$B$6*I181+Parametri!$B$7*J181</f>
      </c>
      <c r="L181">
        <f>IF(K181&gt;=Parametri!$B$3,3,IF(K181&gt;=Parametri!$B$4,2,1))</f>
      </c>
      <c r="M181" t="s">
        <v>28</v>
      </c>
      <c r="N181" t="s">
        <v>29</v>
      </c>
    </row>
    <row r="182" spans="1:14" x14ac:dyDescent="0.25">
      <c r="A182" s="5" t="s">
        <v>23</v>
      </c>
      <c r="B182" s="5" t="s">
        <v>390</v>
      </c>
      <c r="C182" s="5" t="s">
        <v>75</v>
      </c>
      <c r="D182" s="5" t="s">
        <v>416</v>
      </c>
      <c r="E182" s="5" t="s">
        <v>417</v>
      </c>
      <c r="F182" s="5">
        <v>12</v>
      </c>
      <c r="G182" s="5">
        <v>3</v>
      </c>
      <c r="H182" s="5">
        <v>15</v>
      </c>
      <c r="I182" s="6">
        <v>0.1111111111111111</v>
      </c>
      <c r="J182" s="6">
        <v>0.2222222222222222</v>
      </c>
      <c r="K182" s="6">
        <f>Parametri!$B$6*I182+Parametri!$B$7*J182</f>
      </c>
      <c r="L182" s="5">
        <f>IF(K182&gt;=Parametri!$B$3,3,IF(K182&gt;=Parametri!$B$4,2,1))</f>
      </c>
      <c r="M182" s="5" t="s">
        <v>28</v>
      </c>
      <c r="N182" s="5" t="s">
        <v>29</v>
      </c>
    </row>
    <row r="183" spans="1:14" x14ac:dyDescent="0.25">
      <c r="A183" t="s">
        <v>23</v>
      </c>
      <c r="B183" t="s">
        <v>390</v>
      </c>
      <c r="C183" t="s">
        <v>75</v>
      </c>
      <c r="D183" t="s">
        <v>418</v>
      </c>
      <c r="E183" t="s">
        <v>419</v>
      </c>
      <c r="F183">
        <v>12</v>
      </c>
      <c r="G183">
        <v>4</v>
      </c>
      <c r="H183">
        <v>16</v>
      </c>
      <c r="I183" s="7">
        <v>0.1111111111111111</v>
      </c>
      <c r="J183" s="7">
        <v>0.07407407407407407</v>
      </c>
      <c r="K183" s="7">
        <f>Parametri!$B$6*I183+Parametri!$B$7*J183</f>
      </c>
      <c r="L183">
        <f>IF(K183&gt;=Parametri!$B$3,3,IF(K183&gt;=Parametri!$B$4,2,1))</f>
      </c>
      <c r="M183" t="s">
        <v>28</v>
      </c>
      <c r="N183" t="s">
        <v>29</v>
      </c>
    </row>
    <row r="184" spans="1:14" x14ac:dyDescent="0.25">
      <c r="A184" s="5" t="s">
        <v>23</v>
      </c>
      <c r="B184" s="5" t="s">
        <v>390</v>
      </c>
      <c r="C184" s="5" t="s">
        <v>75</v>
      </c>
      <c r="D184" s="5" t="s">
        <v>420</v>
      </c>
      <c r="E184" s="5" t="s">
        <v>421</v>
      </c>
      <c r="F184" s="5">
        <v>19</v>
      </c>
      <c r="G184" s="5">
        <v>1</v>
      </c>
      <c r="H184" s="5">
        <v>20</v>
      </c>
      <c r="I184" s="6">
        <v>0.7407407407407407</v>
      </c>
      <c r="J184" s="6">
        <v>0.7407407407407407</v>
      </c>
      <c r="K184" s="6">
        <f>Parametri!$B$6*I184+Parametri!$B$7*J184</f>
      </c>
      <c r="L184" s="5">
        <f>IF(K184&gt;=Parametri!$B$3,3,IF(K184&gt;=Parametri!$B$4,2,1))</f>
      </c>
      <c r="M184" s="5" t="s">
        <v>28</v>
      </c>
      <c r="N184" s="5" t="s">
        <v>29</v>
      </c>
    </row>
    <row r="185" spans="1:14" x14ac:dyDescent="0.25">
      <c r="A185" t="s">
        <v>23</v>
      </c>
      <c r="B185" t="s">
        <v>390</v>
      </c>
      <c r="C185" t="s">
        <v>75</v>
      </c>
      <c r="D185" t="s">
        <v>422</v>
      </c>
      <c r="E185" t="s">
        <v>423</v>
      </c>
      <c r="F185">
        <v>22</v>
      </c>
      <c r="G185">
        <v>1</v>
      </c>
      <c r="H185">
        <v>23</v>
      </c>
      <c r="I185" s="7">
        <v>0.9259259259259259</v>
      </c>
      <c r="J185" s="7">
        <v>0.7407407407407407</v>
      </c>
      <c r="K185" s="7">
        <f>Parametri!$B$6*I185+Parametri!$B$7*J185</f>
      </c>
      <c r="L185">
        <f>IF(K185&gt;=Parametri!$B$3,3,IF(K185&gt;=Parametri!$B$4,2,1))</f>
      </c>
      <c r="M185" t="s">
        <v>28</v>
      </c>
      <c r="N185" t="s">
        <v>29</v>
      </c>
    </row>
    <row r="186" spans="1:14" x14ac:dyDescent="0.25">
      <c r="A186" s="5" t="s">
        <v>23</v>
      </c>
      <c r="B186" s="5" t="s">
        <v>390</v>
      </c>
      <c r="C186" s="5" t="s">
        <v>75</v>
      </c>
      <c r="D186" s="5" t="s">
        <v>424</v>
      </c>
      <c r="E186" s="5" t="s">
        <v>425</v>
      </c>
      <c r="F186" s="5">
        <v>14</v>
      </c>
      <c r="G186" s="5">
        <v>1</v>
      </c>
      <c r="H186" s="5">
        <v>15</v>
      </c>
      <c r="I186" s="6">
        <v>0.2222222222222222</v>
      </c>
      <c r="J186" s="6">
        <v>0.7407407407407407</v>
      </c>
      <c r="K186" s="6">
        <f>Parametri!$B$6*I186+Parametri!$B$7*J186</f>
      </c>
      <c r="L186" s="5">
        <f>IF(K186&gt;=Parametri!$B$3,3,IF(K186&gt;=Parametri!$B$4,2,1))</f>
      </c>
      <c r="M186" s="5" t="s">
        <v>28</v>
      </c>
      <c r="N186" s="5" t="s">
        <v>29</v>
      </c>
    </row>
    <row r="187" spans="1:14" x14ac:dyDescent="0.25">
      <c r="A187" t="s">
        <v>23</v>
      </c>
      <c r="B187" t="s">
        <v>390</v>
      </c>
      <c r="C187" t="s">
        <v>75</v>
      </c>
      <c r="D187" t="s">
        <v>426</v>
      </c>
      <c r="E187" t="s">
        <v>427</v>
      </c>
      <c r="F187">
        <v>15</v>
      </c>
      <c r="G187">
        <v>0</v>
      </c>
      <c r="H187">
        <v>15</v>
      </c>
      <c r="I187" s="7">
        <v>0.4444444444444444</v>
      </c>
      <c r="J187" s="7">
        <v>1</v>
      </c>
      <c r="K187" s="7">
        <f>Parametri!$B$6*I187+Parametri!$B$7*J187</f>
      </c>
      <c r="L187">
        <f>IF(K187&gt;=Parametri!$B$3,3,IF(K187&gt;=Parametri!$B$4,2,1))</f>
      </c>
      <c r="M187" t="s">
        <v>28</v>
      </c>
      <c r="N187" t="s">
        <v>29</v>
      </c>
    </row>
    <row r="188" spans="1:14" x14ac:dyDescent="0.25">
      <c r="A188" s="5" t="s">
        <v>23</v>
      </c>
      <c r="B188" s="5" t="s">
        <v>390</v>
      </c>
      <c r="C188" s="5" t="s">
        <v>75</v>
      </c>
      <c r="D188" s="5" t="s">
        <v>428</v>
      </c>
      <c r="E188" s="5" t="s">
        <v>429</v>
      </c>
      <c r="F188" s="5">
        <v>14</v>
      </c>
      <c r="G188" s="5">
        <v>6</v>
      </c>
      <c r="H188" s="5">
        <v>20</v>
      </c>
      <c r="I188" s="6">
        <v>0.2222222222222222</v>
      </c>
      <c r="J188" s="6">
        <v>0.03703703703703709</v>
      </c>
      <c r="K188" s="6">
        <f>Parametri!$B$6*I188+Parametri!$B$7*J188</f>
      </c>
      <c r="L188" s="5">
        <f>IF(K188&gt;=Parametri!$B$3,3,IF(K188&gt;=Parametri!$B$4,2,1))</f>
      </c>
      <c r="M188" s="5" t="s">
        <v>28</v>
      </c>
      <c r="N188" s="5" t="s">
        <v>29</v>
      </c>
    </row>
    <row r="189" spans="1:14" x14ac:dyDescent="0.25">
      <c r="A189" t="s">
        <v>23</v>
      </c>
      <c r="B189" t="s">
        <v>390</v>
      </c>
      <c r="C189" t="s">
        <v>75</v>
      </c>
      <c r="D189" t="s">
        <v>430</v>
      </c>
      <c r="E189" t="s">
        <v>431</v>
      </c>
      <c r="F189">
        <v>19</v>
      </c>
      <c r="G189">
        <v>2</v>
      </c>
      <c r="H189">
        <v>21</v>
      </c>
      <c r="I189" s="7">
        <v>0.7407407407407407</v>
      </c>
      <c r="J189" s="7">
        <v>0.5185185185185186</v>
      </c>
      <c r="K189" s="7">
        <f>Parametri!$B$6*I189+Parametri!$B$7*J189</f>
      </c>
      <c r="L189">
        <f>IF(K189&gt;=Parametri!$B$3,3,IF(K189&gt;=Parametri!$B$4,2,1))</f>
      </c>
      <c r="M189" t="s">
        <v>28</v>
      </c>
      <c r="N189" t="s">
        <v>29</v>
      </c>
    </row>
    <row r="190" spans="1:14" x14ac:dyDescent="0.25">
      <c r="A190" s="5" t="s">
        <v>23</v>
      </c>
      <c r="B190" s="5" t="s">
        <v>390</v>
      </c>
      <c r="C190" s="5" t="s">
        <v>75</v>
      </c>
      <c r="D190" s="5" t="s">
        <v>432</v>
      </c>
      <c r="E190" s="5" t="s">
        <v>433</v>
      </c>
      <c r="F190" s="5">
        <v>17</v>
      </c>
      <c r="G190" s="5">
        <v>2</v>
      </c>
      <c r="H190" s="5">
        <v>19</v>
      </c>
      <c r="I190" s="6">
        <v>0.5925925925925926</v>
      </c>
      <c r="J190" s="6">
        <v>0.5185185185185186</v>
      </c>
      <c r="K190" s="6">
        <f>Parametri!$B$6*I190+Parametri!$B$7*J190</f>
      </c>
      <c r="L190" s="5">
        <f>IF(K190&gt;=Parametri!$B$3,3,IF(K190&gt;=Parametri!$B$4,2,1))</f>
      </c>
      <c r="M190" s="5" t="s">
        <v>28</v>
      </c>
      <c r="N190" s="5" t="s">
        <v>29</v>
      </c>
    </row>
    <row r="191" spans="1:14" x14ac:dyDescent="0.25">
      <c r="A191" t="s">
        <v>23</v>
      </c>
      <c r="B191" t="s">
        <v>390</v>
      </c>
      <c r="C191" t="s">
        <v>75</v>
      </c>
      <c r="D191" t="s">
        <v>434</v>
      </c>
      <c r="E191" t="s">
        <v>435</v>
      </c>
      <c r="F191">
        <v>20</v>
      </c>
      <c r="G191">
        <v>3</v>
      </c>
      <c r="H191">
        <v>23</v>
      </c>
      <c r="I191" s="7">
        <v>0.8518518518518519</v>
      </c>
      <c r="J191" s="7">
        <v>0.2222222222222222</v>
      </c>
      <c r="K191" s="7">
        <f>Parametri!$B$6*I191+Parametri!$B$7*J191</f>
      </c>
      <c r="L191">
        <f>IF(K191&gt;=Parametri!$B$3,3,IF(K191&gt;=Parametri!$B$4,2,1))</f>
      </c>
      <c r="M191" t="s">
        <v>28</v>
      </c>
      <c r="N191" t="s">
        <v>29</v>
      </c>
    </row>
    <row r="192" spans="1:14" x14ac:dyDescent="0.25">
      <c r="A192" s="5" t="s">
        <v>23</v>
      </c>
      <c r="B192" s="5" t="s">
        <v>390</v>
      </c>
      <c r="C192" s="5" t="s">
        <v>75</v>
      </c>
      <c r="D192" s="5" t="s">
        <v>436</v>
      </c>
      <c r="E192" s="5" t="s">
        <v>437</v>
      </c>
      <c r="F192" s="5">
        <v>19</v>
      </c>
      <c r="G192" s="5">
        <v>1</v>
      </c>
      <c r="H192" s="5">
        <v>20</v>
      </c>
      <c r="I192" s="6">
        <v>0.7407407407407407</v>
      </c>
      <c r="J192" s="6">
        <v>0.7407407407407407</v>
      </c>
      <c r="K192" s="6">
        <f>Parametri!$B$6*I192+Parametri!$B$7*J192</f>
      </c>
      <c r="L192" s="5">
        <f>IF(K192&gt;=Parametri!$B$3,3,IF(K192&gt;=Parametri!$B$4,2,1))</f>
      </c>
      <c r="M192" s="5" t="s">
        <v>28</v>
      </c>
      <c r="N192" s="5" t="s">
        <v>29</v>
      </c>
    </row>
    <row r="193" spans="1:14" x14ac:dyDescent="0.25">
      <c r="A193" t="s">
        <v>23</v>
      </c>
      <c r="B193" t="s">
        <v>390</v>
      </c>
      <c r="C193" t="s">
        <v>75</v>
      </c>
      <c r="D193" t="s">
        <v>438</v>
      </c>
      <c r="E193" t="s">
        <v>439</v>
      </c>
      <c r="F193">
        <v>20</v>
      </c>
      <c r="G193">
        <v>1</v>
      </c>
      <c r="H193">
        <v>21</v>
      </c>
      <c r="I193" s="7">
        <v>0.8518518518518519</v>
      </c>
      <c r="J193" s="7">
        <v>0.7407407407407407</v>
      </c>
      <c r="K193" s="7">
        <f>Parametri!$B$6*I193+Parametri!$B$7*J193</f>
      </c>
      <c r="L193">
        <f>IF(K193&gt;=Parametri!$B$3,3,IF(K193&gt;=Parametri!$B$4,2,1))</f>
      </c>
      <c r="M193" t="s">
        <v>28</v>
      </c>
      <c r="N193" t="s">
        <v>29</v>
      </c>
    </row>
    <row r="194" spans="1:14" x14ac:dyDescent="0.25">
      <c r="A194" s="5" t="s">
        <v>23</v>
      </c>
      <c r="B194" s="5" t="s">
        <v>390</v>
      </c>
      <c r="C194" s="5" t="s">
        <v>75</v>
      </c>
      <c r="D194" s="5" t="s">
        <v>440</v>
      </c>
      <c r="E194" s="5" t="s">
        <v>441</v>
      </c>
      <c r="F194" s="5">
        <v>15</v>
      </c>
      <c r="G194" s="5">
        <v>1</v>
      </c>
      <c r="H194" s="5">
        <v>16</v>
      </c>
      <c r="I194" s="6">
        <v>0.4444444444444444</v>
      </c>
      <c r="J194" s="6">
        <v>0.7407407407407407</v>
      </c>
      <c r="K194" s="6">
        <f>Parametri!$B$6*I194+Parametri!$B$7*J194</f>
      </c>
      <c r="L194" s="5">
        <f>IF(K194&gt;=Parametri!$B$3,3,IF(K194&gt;=Parametri!$B$4,2,1))</f>
      </c>
      <c r="M194" s="5" t="s">
        <v>28</v>
      </c>
      <c r="N194" s="5" t="s">
        <v>29</v>
      </c>
    </row>
    <row r="195" spans="1:14" x14ac:dyDescent="0.25">
      <c r="A195" t="s">
        <v>23</v>
      </c>
      <c r="B195" t="s">
        <v>390</v>
      </c>
      <c r="C195" t="s">
        <v>75</v>
      </c>
      <c r="D195" t="s">
        <v>442</v>
      </c>
      <c r="E195" t="s">
        <v>443</v>
      </c>
      <c r="F195">
        <v>12</v>
      </c>
      <c r="G195">
        <v>2</v>
      </c>
      <c r="H195">
        <v>14</v>
      </c>
      <c r="I195" s="7">
        <v>0.1111111111111111</v>
      </c>
      <c r="J195" s="7">
        <v>0.5185185185185186</v>
      </c>
      <c r="K195" s="7">
        <f>Parametri!$B$6*I195+Parametri!$B$7*J195</f>
      </c>
      <c r="L195">
        <f>IF(K195&gt;=Parametri!$B$3,3,IF(K195&gt;=Parametri!$B$4,2,1))</f>
      </c>
      <c r="M195" t="s">
        <v>28</v>
      </c>
      <c r="N195" t="s">
        <v>29</v>
      </c>
    </row>
    <row r="196" spans="1:14" x14ac:dyDescent="0.25">
      <c r="A196" s="5" t="s">
        <v>23</v>
      </c>
      <c r="B196" s="5" t="s">
        <v>390</v>
      </c>
      <c r="C196" s="5" t="s">
        <v>75</v>
      </c>
      <c r="D196" s="5" t="s">
        <v>444</v>
      </c>
      <c r="E196" s="5" t="s">
        <v>445</v>
      </c>
      <c r="F196" s="5">
        <v>16</v>
      </c>
      <c r="G196" s="5">
        <v>4</v>
      </c>
      <c r="H196" s="5">
        <v>20</v>
      </c>
      <c r="I196" s="6">
        <v>0.5185185185185185</v>
      </c>
      <c r="J196" s="6">
        <v>0.07407407407407407</v>
      </c>
      <c r="K196" s="6">
        <f>Parametri!$B$6*I196+Parametri!$B$7*J196</f>
      </c>
      <c r="L196" s="5">
        <f>IF(K196&gt;=Parametri!$B$3,3,IF(K196&gt;=Parametri!$B$4,2,1))</f>
      </c>
      <c r="M196" s="5" t="s">
        <v>28</v>
      </c>
      <c r="N196" s="5" t="s">
        <v>29</v>
      </c>
    </row>
    <row r="197" spans="1:14" x14ac:dyDescent="0.25">
      <c r="A197" t="s">
        <v>23</v>
      </c>
      <c r="B197" t="s">
        <v>446</v>
      </c>
      <c r="C197" t="s">
        <v>25</v>
      </c>
      <c r="D197" t="s">
        <v>447</v>
      </c>
      <c r="E197" t="s">
        <v>448</v>
      </c>
      <c r="F197">
        <v>5</v>
      </c>
      <c r="G197">
        <v>0</v>
      </c>
      <c r="H197">
        <v>5</v>
      </c>
      <c r="I197" s="7">
        <v>1</v>
      </c>
      <c r="J197" s="7">
        <v>0</v>
      </c>
      <c r="K197" s="7">
        <f>Parametri!$B$6*I197+Parametri!$B$7*J197</f>
      </c>
      <c r="L197">
        <f>IF(K197&gt;=Parametri!$B$3,3,IF(K197&gt;=Parametri!$B$4,2,1))</f>
      </c>
      <c r="M197" t="s">
        <v>28</v>
      </c>
      <c r="N197" t="s">
        <v>29</v>
      </c>
    </row>
    <row r="198" spans="1:14" x14ac:dyDescent="0.25">
      <c r="A198" s="8" t="s">
        <v>23</v>
      </c>
      <c r="B198" s="8" t="s">
        <v>446</v>
      </c>
      <c r="C198" s="8" t="s">
        <v>25</v>
      </c>
      <c r="D198" s="8" t="s">
        <v>449</v>
      </c>
      <c r="E198" s="8" t="s">
        <v>450</v>
      </c>
      <c r="F198" s="8">
        <v>3</v>
      </c>
      <c r="G198" s="8">
        <v>0</v>
      </c>
      <c r="H198" s="8">
        <v>3</v>
      </c>
      <c r="I198" s="8" t="s">
        <v>55</v>
      </c>
      <c r="J198" s="8" t="s">
        <v>55</v>
      </c>
      <c r="K198" s="8" t="s">
        <v>55</v>
      </c>
      <c r="L198" s="8" t="s">
        <v>56</v>
      </c>
      <c r="M198" s="8" t="s">
        <v>28</v>
      </c>
      <c r="N198" s="8" t="s">
        <v>56</v>
      </c>
    </row>
    <row r="199" spans="1:14" x14ac:dyDescent="0.25">
      <c r="A199" t="s">
        <v>23</v>
      </c>
      <c r="B199" t="s">
        <v>451</v>
      </c>
      <c r="C199" t="s">
        <v>25</v>
      </c>
      <c r="D199" t="s">
        <v>452</v>
      </c>
      <c r="E199" t="s">
        <v>453</v>
      </c>
      <c r="F199">
        <v>6</v>
      </c>
      <c r="G199">
        <v>2</v>
      </c>
      <c r="H199">
        <v>8</v>
      </c>
      <c r="I199" s="7">
        <v>0.6842105263157895</v>
      </c>
      <c r="J199" s="7">
        <v>0</v>
      </c>
      <c r="K199" s="7">
        <f>Parametri!$B$6*I199+Parametri!$B$7*J199</f>
      </c>
      <c r="L199">
        <f>IF(K199&gt;=Parametri!$B$3,3,IF(K199&gt;=Parametri!$B$4,2,1))</f>
      </c>
      <c r="M199" t="s">
        <v>28</v>
      </c>
      <c r="N199" t="s">
        <v>29</v>
      </c>
    </row>
    <row r="200" spans="1:14" x14ac:dyDescent="0.25">
      <c r="A200" s="5" t="s">
        <v>23</v>
      </c>
      <c r="B200" s="5" t="s">
        <v>451</v>
      </c>
      <c r="C200" s="5" t="s">
        <v>25</v>
      </c>
      <c r="D200" s="5" t="s">
        <v>454</v>
      </c>
      <c r="E200" s="5" t="s">
        <v>455</v>
      </c>
      <c r="F200" s="5">
        <v>8</v>
      </c>
      <c r="G200" s="5">
        <v>0</v>
      </c>
      <c r="H200" s="5">
        <v>8</v>
      </c>
      <c r="I200" s="6">
        <v>0.9473684210526315</v>
      </c>
      <c r="J200" s="6">
        <v>0.5263157894736843</v>
      </c>
      <c r="K200" s="6">
        <f>Parametri!$B$6*I200+Parametri!$B$7*J200</f>
      </c>
      <c r="L200" s="5">
        <f>IF(K200&gt;=Parametri!$B$3,3,IF(K200&gt;=Parametri!$B$4,2,1))</f>
      </c>
      <c r="M200" s="5" t="s">
        <v>28</v>
      </c>
      <c r="N200" s="5" t="s">
        <v>29</v>
      </c>
    </row>
    <row r="201" spans="1:14" x14ac:dyDescent="0.25">
      <c r="A201" t="s">
        <v>23</v>
      </c>
      <c r="B201" t="s">
        <v>451</v>
      </c>
      <c r="C201" t="s">
        <v>25</v>
      </c>
      <c r="D201" t="s">
        <v>456</v>
      </c>
      <c r="E201" t="s">
        <v>457</v>
      </c>
      <c r="F201">
        <v>8</v>
      </c>
      <c r="G201">
        <v>0</v>
      </c>
      <c r="H201">
        <v>8</v>
      </c>
      <c r="I201" s="7">
        <v>0.9473684210526315</v>
      </c>
      <c r="J201" s="7">
        <v>0.5263157894736843</v>
      </c>
      <c r="K201" s="7">
        <f>Parametri!$B$6*I201+Parametri!$B$7*J201</f>
      </c>
      <c r="L201">
        <f>IF(K201&gt;=Parametri!$B$3,3,IF(K201&gt;=Parametri!$B$4,2,1))</f>
      </c>
      <c r="M201" t="s">
        <v>28</v>
      </c>
      <c r="N201" t="s">
        <v>29</v>
      </c>
    </row>
    <row r="202" spans="1:14" x14ac:dyDescent="0.25">
      <c r="A202" s="5" t="s">
        <v>23</v>
      </c>
      <c r="B202" s="5" t="s">
        <v>451</v>
      </c>
      <c r="C202" s="5" t="s">
        <v>25</v>
      </c>
      <c r="D202" s="5" t="s">
        <v>458</v>
      </c>
      <c r="E202" s="5" t="s">
        <v>459</v>
      </c>
      <c r="F202" s="5">
        <v>7</v>
      </c>
      <c r="G202" s="5">
        <v>0</v>
      </c>
      <c r="H202" s="5">
        <v>7</v>
      </c>
      <c r="I202" s="6">
        <v>0.8421052631578947</v>
      </c>
      <c r="J202" s="6">
        <v>0.5263157894736843</v>
      </c>
      <c r="K202" s="6">
        <f>Parametri!$B$6*I202+Parametri!$B$7*J202</f>
      </c>
      <c r="L202" s="5">
        <f>IF(K202&gt;=Parametri!$B$3,3,IF(K202&gt;=Parametri!$B$4,2,1))</f>
      </c>
      <c r="M202" s="5" t="s">
        <v>28</v>
      </c>
      <c r="N202" s="5" t="s">
        <v>29</v>
      </c>
    </row>
    <row r="203" spans="1:14" x14ac:dyDescent="0.25">
      <c r="A203" t="s">
        <v>23</v>
      </c>
      <c r="B203" t="s">
        <v>451</v>
      </c>
      <c r="C203" t="s">
        <v>25</v>
      </c>
      <c r="D203" t="s">
        <v>460</v>
      </c>
      <c r="E203" t="s">
        <v>461</v>
      </c>
      <c r="F203">
        <v>5</v>
      </c>
      <c r="G203">
        <v>1</v>
      </c>
      <c r="H203">
        <v>6</v>
      </c>
      <c r="I203" s="7">
        <v>0.5789473684210527</v>
      </c>
      <c r="J203" s="7">
        <v>0.10526315789473684</v>
      </c>
      <c r="K203" s="7">
        <f>Parametri!$B$6*I203+Parametri!$B$7*J203</f>
      </c>
      <c r="L203">
        <f>IF(K203&gt;=Parametri!$B$3,3,IF(K203&gt;=Parametri!$B$4,2,1))</f>
      </c>
      <c r="M203" t="s">
        <v>28</v>
      </c>
      <c r="N203" t="s">
        <v>29</v>
      </c>
    </row>
    <row r="204" spans="1:14" x14ac:dyDescent="0.25">
      <c r="A204" s="5" t="s">
        <v>23</v>
      </c>
      <c r="B204" s="5" t="s">
        <v>451</v>
      </c>
      <c r="C204" s="5" t="s">
        <v>25</v>
      </c>
      <c r="D204" s="5" t="s">
        <v>462</v>
      </c>
      <c r="E204" s="5" t="s">
        <v>463</v>
      </c>
      <c r="F204" s="5">
        <v>7</v>
      </c>
      <c r="G204" s="5">
        <v>0</v>
      </c>
      <c r="H204" s="5">
        <v>7</v>
      </c>
      <c r="I204" s="6">
        <v>0.8421052631578947</v>
      </c>
      <c r="J204" s="6">
        <v>0.5263157894736843</v>
      </c>
      <c r="K204" s="6">
        <f>Parametri!$B$6*I204+Parametri!$B$7*J204</f>
      </c>
      <c r="L204" s="5">
        <f>IF(K204&gt;=Parametri!$B$3,3,IF(K204&gt;=Parametri!$B$4,2,1))</f>
      </c>
      <c r="M204" s="5" t="s">
        <v>28</v>
      </c>
      <c r="N204" s="5" t="s">
        <v>29</v>
      </c>
    </row>
    <row r="205" spans="1:14" x14ac:dyDescent="0.25">
      <c r="A205" t="s">
        <v>23</v>
      </c>
      <c r="B205" t="s">
        <v>451</v>
      </c>
      <c r="C205" t="s">
        <v>25</v>
      </c>
      <c r="D205" t="s">
        <v>464</v>
      </c>
      <c r="E205" t="s">
        <v>465</v>
      </c>
      <c r="F205">
        <v>4</v>
      </c>
      <c r="G205">
        <v>1</v>
      </c>
      <c r="H205">
        <v>5</v>
      </c>
      <c r="I205" s="7">
        <v>0.21052631578947367</v>
      </c>
      <c r="J205" s="7">
        <v>0.10526315789473684</v>
      </c>
      <c r="K205" s="7">
        <f>Parametri!$B$6*I205+Parametri!$B$7*J205</f>
      </c>
      <c r="L205">
        <f>IF(K205&gt;=Parametri!$B$3,3,IF(K205&gt;=Parametri!$B$4,2,1))</f>
      </c>
      <c r="M205" t="s">
        <v>28</v>
      </c>
      <c r="N205" t="s">
        <v>29</v>
      </c>
    </row>
    <row r="206" spans="1:14" x14ac:dyDescent="0.25">
      <c r="A206" s="5" t="s">
        <v>23</v>
      </c>
      <c r="B206" s="5" t="s">
        <v>451</v>
      </c>
      <c r="C206" s="5" t="s">
        <v>25</v>
      </c>
      <c r="D206" s="5" t="s">
        <v>466</v>
      </c>
      <c r="E206" s="5" t="s">
        <v>467</v>
      </c>
      <c r="F206" s="5">
        <v>5</v>
      </c>
      <c r="G206" s="5">
        <v>0</v>
      </c>
      <c r="H206" s="5">
        <v>5</v>
      </c>
      <c r="I206" s="6">
        <v>0.5789473684210527</v>
      </c>
      <c r="J206" s="6">
        <v>0.5263157894736843</v>
      </c>
      <c r="K206" s="6">
        <f>Parametri!$B$6*I206+Parametri!$B$7*J206</f>
      </c>
      <c r="L206" s="5">
        <f>IF(K206&gt;=Parametri!$B$3,3,IF(K206&gt;=Parametri!$B$4,2,1))</f>
      </c>
      <c r="M206" s="5" t="s">
        <v>28</v>
      </c>
      <c r="N206" s="5" t="s">
        <v>29</v>
      </c>
    </row>
    <row r="207" spans="1:14" x14ac:dyDescent="0.25">
      <c r="A207" t="s">
        <v>23</v>
      </c>
      <c r="B207" t="s">
        <v>451</v>
      </c>
      <c r="C207" t="s">
        <v>25</v>
      </c>
      <c r="D207" t="s">
        <v>468</v>
      </c>
      <c r="E207" t="s">
        <v>469</v>
      </c>
      <c r="F207">
        <v>5</v>
      </c>
      <c r="G207">
        <v>0</v>
      </c>
      <c r="H207">
        <v>5</v>
      </c>
      <c r="I207" s="7">
        <v>0.5789473684210527</v>
      </c>
      <c r="J207" s="7">
        <v>0.5263157894736843</v>
      </c>
      <c r="K207" s="7">
        <f>Parametri!$B$6*I207+Parametri!$B$7*J207</f>
      </c>
      <c r="L207">
        <f>IF(K207&gt;=Parametri!$B$3,3,IF(K207&gt;=Parametri!$B$4,2,1))</f>
      </c>
      <c r="M207" t="s">
        <v>28</v>
      </c>
      <c r="N207" t="s">
        <v>29</v>
      </c>
    </row>
    <row r="208" spans="1:14" x14ac:dyDescent="0.25">
      <c r="A208" s="5" t="s">
        <v>23</v>
      </c>
      <c r="B208" s="5" t="s">
        <v>451</v>
      </c>
      <c r="C208" s="5" t="s">
        <v>25</v>
      </c>
      <c r="D208" s="5" t="s">
        <v>470</v>
      </c>
      <c r="E208" s="5" t="s">
        <v>471</v>
      </c>
      <c r="F208" s="5">
        <v>5</v>
      </c>
      <c r="G208" s="5">
        <v>0</v>
      </c>
      <c r="H208" s="5">
        <v>5</v>
      </c>
      <c r="I208" s="6">
        <v>0.5789473684210527</v>
      </c>
      <c r="J208" s="6">
        <v>0.5263157894736843</v>
      </c>
      <c r="K208" s="6">
        <f>Parametri!$B$6*I208+Parametri!$B$7*J208</f>
      </c>
      <c r="L208" s="5">
        <f>IF(K208&gt;=Parametri!$B$3,3,IF(K208&gt;=Parametri!$B$4,2,1))</f>
      </c>
      <c r="M208" s="5" t="s">
        <v>28</v>
      </c>
      <c r="N208" s="5" t="s">
        <v>29</v>
      </c>
    </row>
    <row r="209" spans="1:14" x14ac:dyDescent="0.25">
      <c r="A209" t="s">
        <v>23</v>
      </c>
      <c r="B209" t="s">
        <v>451</v>
      </c>
      <c r="C209" t="s">
        <v>25</v>
      </c>
      <c r="D209" t="s">
        <v>472</v>
      </c>
      <c r="E209" t="s">
        <v>473</v>
      </c>
      <c r="F209">
        <v>5</v>
      </c>
      <c r="G209">
        <v>1</v>
      </c>
      <c r="H209">
        <v>6</v>
      </c>
      <c r="I209" s="7">
        <v>0.5789473684210527</v>
      </c>
      <c r="J209" s="7">
        <v>0.10526315789473684</v>
      </c>
      <c r="K209" s="7">
        <f>Parametri!$B$6*I209+Parametri!$B$7*J209</f>
      </c>
      <c r="L209">
        <f>IF(K209&gt;=Parametri!$B$3,3,IF(K209&gt;=Parametri!$B$4,2,1))</f>
      </c>
      <c r="M209" t="s">
        <v>28</v>
      </c>
      <c r="N209" t="s">
        <v>29</v>
      </c>
    </row>
    <row r="210" spans="1:14" x14ac:dyDescent="0.25">
      <c r="A210" s="5" t="s">
        <v>23</v>
      </c>
      <c r="B210" s="5" t="s">
        <v>451</v>
      </c>
      <c r="C210" s="5" t="s">
        <v>25</v>
      </c>
      <c r="D210" s="5" t="s">
        <v>474</v>
      </c>
      <c r="E210" s="5" t="s">
        <v>475</v>
      </c>
      <c r="F210" s="5">
        <v>4</v>
      </c>
      <c r="G210" s="5">
        <v>1</v>
      </c>
      <c r="H210" s="5">
        <v>5</v>
      </c>
      <c r="I210" s="6">
        <v>0.21052631578947367</v>
      </c>
      <c r="J210" s="6">
        <v>0.10526315789473684</v>
      </c>
      <c r="K210" s="6">
        <f>Parametri!$B$6*I210+Parametri!$B$7*J210</f>
      </c>
      <c r="L210" s="5">
        <f>IF(K210&gt;=Parametri!$B$3,3,IF(K210&gt;=Parametri!$B$4,2,1))</f>
      </c>
      <c r="M210" s="5" t="s">
        <v>28</v>
      </c>
      <c r="N210" s="5" t="s">
        <v>29</v>
      </c>
    </row>
    <row r="211" spans="1:14" x14ac:dyDescent="0.25">
      <c r="A211" t="s">
        <v>23</v>
      </c>
      <c r="B211" t="s">
        <v>451</v>
      </c>
      <c r="C211" t="s">
        <v>25</v>
      </c>
      <c r="D211" t="s">
        <v>476</v>
      </c>
      <c r="E211" t="s">
        <v>477</v>
      </c>
      <c r="F211">
        <v>7</v>
      </c>
      <c r="G211">
        <v>0</v>
      </c>
      <c r="H211">
        <v>7</v>
      </c>
      <c r="I211" s="7">
        <v>0.8421052631578947</v>
      </c>
      <c r="J211" s="7">
        <v>0.5263157894736843</v>
      </c>
      <c r="K211" s="7">
        <f>Parametri!$B$6*I211+Parametri!$B$7*J211</f>
      </c>
      <c r="L211">
        <f>IF(K211&gt;=Parametri!$B$3,3,IF(K211&gt;=Parametri!$B$4,2,1))</f>
      </c>
      <c r="M211" t="s">
        <v>28</v>
      </c>
      <c r="N211" t="s">
        <v>29</v>
      </c>
    </row>
    <row r="212" spans="1:14" x14ac:dyDescent="0.25">
      <c r="A212" s="5" t="s">
        <v>23</v>
      </c>
      <c r="B212" s="5" t="s">
        <v>451</v>
      </c>
      <c r="C212" s="5" t="s">
        <v>25</v>
      </c>
      <c r="D212" s="5" t="s">
        <v>478</v>
      </c>
      <c r="E212" s="5" t="s">
        <v>479</v>
      </c>
      <c r="F212" s="5">
        <v>4</v>
      </c>
      <c r="G212" s="5">
        <v>1</v>
      </c>
      <c r="H212" s="5">
        <v>5</v>
      </c>
      <c r="I212" s="6">
        <v>0.21052631578947367</v>
      </c>
      <c r="J212" s="6">
        <v>0.10526315789473684</v>
      </c>
      <c r="K212" s="6">
        <f>Parametri!$B$6*I212+Parametri!$B$7*J212</f>
      </c>
      <c r="L212" s="5">
        <f>IF(K212&gt;=Parametri!$B$3,3,IF(K212&gt;=Parametri!$B$4,2,1))</f>
      </c>
      <c r="M212" s="5" t="s">
        <v>28</v>
      </c>
      <c r="N212" s="5" t="s">
        <v>29</v>
      </c>
    </row>
    <row r="213" spans="1:14" x14ac:dyDescent="0.25">
      <c r="A213" t="s">
        <v>23</v>
      </c>
      <c r="B213" t="s">
        <v>451</v>
      </c>
      <c r="C213" t="s">
        <v>25</v>
      </c>
      <c r="D213" t="s">
        <v>480</v>
      </c>
      <c r="E213" t="s">
        <v>481</v>
      </c>
      <c r="F213">
        <v>5</v>
      </c>
      <c r="G213">
        <v>1</v>
      </c>
      <c r="H213">
        <v>6</v>
      </c>
      <c r="I213" s="7">
        <v>0.5789473684210527</v>
      </c>
      <c r="J213" s="7">
        <v>0.10526315789473684</v>
      </c>
      <c r="K213" s="7">
        <f>Parametri!$B$6*I213+Parametri!$B$7*J213</f>
      </c>
      <c r="L213">
        <f>IF(K213&gt;=Parametri!$B$3,3,IF(K213&gt;=Parametri!$B$4,2,1))</f>
      </c>
      <c r="M213" t="s">
        <v>28</v>
      </c>
      <c r="N213" t="s">
        <v>29</v>
      </c>
    </row>
    <row r="214" spans="1:14" x14ac:dyDescent="0.25">
      <c r="A214" s="5" t="s">
        <v>23</v>
      </c>
      <c r="B214" s="5" t="s">
        <v>451</v>
      </c>
      <c r="C214" s="5" t="s">
        <v>25</v>
      </c>
      <c r="D214" s="5" t="s">
        <v>482</v>
      </c>
      <c r="E214" s="5" t="s">
        <v>483</v>
      </c>
      <c r="F214" s="5">
        <v>4</v>
      </c>
      <c r="G214" s="5">
        <v>2</v>
      </c>
      <c r="H214" s="5">
        <v>6</v>
      </c>
      <c r="I214" s="6">
        <v>0.21052631578947367</v>
      </c>
      <c r="J214" s="6">
        <v>0</v>
      </c>
      <c r="K214" s="6">
        <f>Parametri!$B$6*I214+Parametri!$B$7*J214</f>
      </c>
      <c r="L214" s="5">
        <f>IF(K214&gt;=Parametri!$B$3,3,IF(K214&gt;=Parametri!$B$4,2,1))</f>
      </c>
      <c r="M214" s="5" t="s">
        <v>28</v>
      </c>
      <c r="N214" s="5" t="s">
        <v>29</v>
      </c>
    </row>
    <row r="215" spans="1:14" x14ac:dyDescent="0.25">
      <c r="A215" t="s">
        <v>23</v>
      </c>
      <c r="B215" t="s">
        <v>451</v>
      </c>
      <c r="C215" t="s">
        <v>25</v>
      </c>
      <c r="D215" t="s">
        <v>484</v>
      </c>
      <c r="E215" t="s">
        <v>485</v>
      </c>
      <c r="F215">
        <v>9</v>
      </c>
      <c r="G215">
        <v>0</v>
      </c>
      <c r="H215">
        <v>9</v>
      </c>
      <c r="I215" s="7">
        <v>1</v>
      </c>
      <c r="J215" s="7">
        <v>0.5263157894736843</v>
      </c>
      <c r="K215" s="7">
        <f>Parametri!$B$6*I215+Parametri!$B$7*J215</f>
      </c>
      <c r="L215">
        <f>IF(K215&gt;=Parametri!$B$3,3,IF(K215&gt;=Parametri!$B$4,2,1))</f>
      </c>
      <c r="M215" t="s">
        <v>28</v>
      </c>
      <c r="N215" t="s">
        <v>29</v>
      </c>
    </row>
    <row r="216" spans="1:14" x14ac:dyDescent="0.25">
      <c r="A216" s="5" t="s">
        <v>23</v>
      </c>
      <c r="B216" s="5" t="s">
        <v>451</v>
      </c>
      <c r="C216" s="5" t="s">
        <v>25</v>
      </c>
      <c r="D216" s="5" t="s">
        <v>486</v>
      </c>
      <c r="E216" s="5" t="s">
        <v>487</v>
      </c>
      <c r="F216" s="5">
        <v>6</v>
      </c>
      <c r="G216" s="5">
        <v>1</v>
      </c>
      <c r="H216" s="5">
        <v>7</v>
      </c>
      <c r="I216" s="6">
        <v>0.6842105263157895</v>
      </c>
      <c r="J216" s="6">
        <v>0.10526315789473684</v>
      </c>
      <c r="K216" s="6">
        <f>Parametri!$B$6*I216+Parametri!$B$7*J216</f>
      </c>
      <c r="L216" s="5">
        <f>IF(K216&gt;=Parametri!$B$3,3,IF(K216&gt;=Parametri!$B$4,2,1))</f>
      </c>
      <c r="M216" s="5" t="s">
        <v>28</v>
      </c>
      <c r="N216" s="5" t="s">
        <v>29</v>
      </c>
    </row>
    <row r="217" spans="1:14" x14ac:dyDescent="0.25">
      <c r="A217" t="s">
        <v>23</v>
      </c>
      <c r="B217" t="s">
        <v>451</v>
      </c>
      <c r="C217" t="s">
        <v>25</v>
      </c>
      <c r="D217" t="s">
        <v>488</v>
      </c>
      <c r="E217" t="s">
        <v>489</v>
      </c>
      <c r="F217">
        <v>4</v>
      </c>
      <c r="G217">
        <v>1</v>
      </c>
      <c r="H217">
        <v>5</v>
      </c>
      <c r="I217" s="7">
        <v>0.21052631578947367</v>
      </c>
      <c r="J217" s="7">
        <v>0.10526315789473684</v>
      </c>
      <c r="K217" s="7">
        <f>Parametri!$B$6*I217+Parametri!$B$7*J217</f>
      </c>
      <c r="L217">
        <f>IF(K217&gt;=Parametri!$B$3,3,IF(K217&gt;=Parametri!$B$4,2,1))</f>
      </c>
      <c r="M217" t="s">
        <v>28</v>
      </c>
      <c r="N217" t="s">
        <v>29</v>
      </c>
    </row>
    <row r="218" spans="1:14" x14ac:dyDescent="0.25">
      <c r="A218" s="5" t="s">
        <v>23</v>
      </c>
      <c r="B218" s="5" t="s">
        <v>451</v>
      </c>
      <c r="C218" s="5" t="s">
        <v>25</v>
      </c>
      <c r="D218" s="5" t="s">
        <v>490</v>
      </c>
      <c r="E218" s="5" t="s">
        <v>491</v>
      </c>
      <c r="F218" s="5">
        <v>5</v>
      </c>
      <c r="G218" s="5">
        <v>0</v>
      </c>
      <c r="H218" s="5">
        <v>5</v>
      </c>
      <c r="I218" s="6">
        <v>0.5789473684210527</v>
      </c>
      <c r="J218" s="6">
        <v>0.5263157894736843</v>
      </c>
      <c r="K218" s="6">
        <f>Parametri!$B$6*I218+Parametri!$B$7*J218</f>
      </c>
      <c r="L218" s="5">
        <f>IF(K218&gt;=Parametri!$B$3,3,IF(K218&gt;=Parametri!$B$4,2,1))</f>
      </c>
      <c r="M218" s="5" t="s">
        <v>28</v>
      </c>
      <c r="N218" s="5" t="s">
        <v>29</v>
      </c>
    </row>
    <row r="219" spans="1:14" x14ac:dyDescent="0.25">
      <c r="A219" s="8" t="s">
        <v>23</v>
      </c>
      <c r="B219" s="8" t="s">
        <v>451</v>
      </c>
      <c r="C219" s="8" t="s">
        <v>25</v>
      </c>
      <c r="D219" s="8" t="s">
        <v>492</v>
      </c>
      <c r="E219" s="8" t="s">
        <v>493</v>
      </c>
      <c r="F219" s="8">
        <v>4</v>
      </c>
      <c r="G219" s="8">
        <v>0</v>
      </c>
      <c r="H219" s="8">
        <v>4</v>
      </c>
      <c r="I219" s="8" t="s">
        <v>55</v>
      </c>
      <c r="J219" s="8" t="s">
        <v>55</v>
      </c>
      <c r="K219" s="8" t="s">
        <v>55</v>
      </c>
      <c r="L219" s="8" t="s">
        <v>56</v>
      </c>
      <c r="M219" s="8" t="s">
        <v>28</v>
      </c>
      <c r="N219" s="8" t="s">
        <v>56</v>
      </c>
    </row>
    <row r="220" spans="1:14" x14ac:dyDescent="0.25">
      <c r="A220" s="8" t="s">
        <v>23</v>
      </c>
      <c r="B220" s="8" t="s">
        <v>451</v>
      </c>
      <c r="C220" s="8" t="s">
        <v>25</v>
      </c>
      <c r="D220" s="8" t="s">
        <v>494</v>
      </c>
      <c r="E220" s="8" t="s">
        <v>495</v>
      </c>
      <c r="F220" s="8">
        <v>3</v>
      </c>
      <c r="G220" s="8">
        <v>1</v>
      </c>
      <c r="H220" s="8">
        <v>4</v>
      </c>
      <c r="I220" s="8" t="s">
        <v>55</v>
      </c>
      <c r="J220" s="8" t="s">
        <v>55</v>
      </c>
      <c r="K220" s="8" t="s">
        <v>55</v>
      </c>
      <c r="L220" s="8" t="s">
        <v>56</v>
      </c>
      <c r="M220" s="8" t="s">
        <v>28</v>
      </c>
      <c r="N220" s="8" t="s">
        <v>56</v>
      </c>
    </row>
    <row r="221" spans="1:14" x14ac:dyDescent="0.25">
      <c r="A221" s="8" t="s">
        <v>23</v>
      </c>
      <c r="B221" s="8" t="s">
        <v>451</v>
      </c>
      <c r="C221" s="8" t="s">
        <v>25</v>
      </c>
      <c r="D221" s="8" t="s">
        <v>496</v>
      </c>
      <c r="E221" s="8" t="s">
        <v>497</v>
      </c>
      <c r="F221" s="8">
        <v>4</v>
      </c>
      <c r="G221" s="8">
        <v>0</v>
      </c>
      <c r="H221" s="8">
        <v>4</v>
      </c>
      <c r="I221" s="8" t="s">
        <v>55</v>
      </c>
      <c r="J221" s="8" t="s">
        <v>55</v>
      </c>
      <c r="K221" s="8" t="s">
        <v>55</v>
      </c>
      <c r="L221" s="8" t="s">
        <v>56</v>
      </c>
      <c r="M221" s="8" t="s">
        <v>28</v>
      </c>
      <c r="N221" s="8" t="s">
        <v>56</v>
      </c>
    </row>
    <row r="222" spans="1:14" x14ac:dyDescent="0.25">
      <c r="A222" s="8" t="s">
        <v>23</v>
      </c>
      <c r="B222" s="8" t="s">
        <v>451</v>
      </c>
      <c r="C222" s="8" t="s">
        <v>25</v>
      </c>
      <c r="D222" s="8" t="s">
        <v>498</v>
      </c>
      <c r="E222" s="8" t="s">
        <v>499</v>
      </c>
      <c r="F222" s="8">
        <v>3</v>
      </c>
      <c r="G222" s="8">
        <v>1</v>
      </c>
      <c r="H222" s="8">
        <v>4</v>
      </c>
      <c r="I222" s="8" t="s">
        <v>55</v>
      </c>
      <c r="J222" s="8" t="s">
        <v>55</v>
      </c>
      <c r="K222" s="8" t="s">
        <v>55</v>
      </c>
      <c r="L222" s="8" t="s">
        <v>56</v>
      </c>
      <c r="M222" s="8" t="s">
        <v>28</v>
      </c>
      <c r="N222" s="8" t="s">
        <v>56</v>
      </c>
    </row>
    <row r="223" spans="1:14" x14ac:dyDescent="0.25">
      <c r="A223" t="s">
        <v>23</v>
      </c>
      <c r="B223" t="s">
        <v>500</v>
      </c>
      <c r="C223" t="s">
        <v>25</v>
      </c>
      <c r="D223" t="s">
        <v>501</v>
      </c>
      <c r="E223" t="s">
        <v>502</v>
      </c>
      <c r="F223">
        <v>8</v>
      </c>
      <c r="G223">
        <v>0</v>
      </c>
      <c r="H223">
        <v>8</v>
      </c>
      <c r="I223" s="7">
        <v>1</v>
      </c>
      <c r="J223" s="7">
        <v>0</v>
      </c>
      <c r="K223" s="7">
        <f>Parametri!$B$6*I223+Parametri!$B$7*J223</f>
      </c>
      <c r="L223">
        <f>IF(K223&gt;=Parametri!$B$3,3,IF(K223&gt;=Parametri!$B$4,2,1))</f>
      </c>
      <c r="M223" t="s">
        <v>28</v>
      </c>
      <c r="N223" t="s">
        <v>29</v>
      </c>
    </row>
    <row r="224" spans="1:14" x14ac:dyDescent="0.25">
      <c r="A224" s="5" t="s">
        <v>23</v>
      </c>
      <c r="B224" s="5" t="s">
        <v>500</v>
      </c>
      <c r="C224" s="5" t="s">
        <v>25</v>
      </c>
      <c r="D224" s="5" t="s">
        <v>503</v>
      </c>
      <c r="E224" s="5" t="s">
        <v>504</v>
      </c>
      <c r="F224" s="5">
        <v>5</v>
      </c>
      <c r="G224" s="5">
        <v>0</v>
      </c>
      <c r="H224" s="5">
        <v>5</v>
      </c>
      <c r="I224" s="6">
        <v>0</v>
      </c>
      <c r="J224" s="6">
        <v>0</v>
      </c>
      <c r="K224" s="6">
        <f>Parametri!$B$6*I224+Parametri!$B$7*J224</f>
      </c>
      <c r="L224" s="5">
        <f>IF(K224&gt;=Parametri!$B$3,3,IF(K224&gt;=Parametri!$B$4,2,1))</f>
      </c>
      <c r="M224" s="5" t="s">
        <v>28</v>
      </c>
      <c r="N224" s="5" t="s">
        <v>29</v>
      </c>
    </row>
    <row r="225" spans="1:14" x14ac:dyDescent="0.25">
      <c r="A225" t="s">
        <v>23</v>
      </c>
      <c r="B225" t="s">
        <v>505</v>
      </c>
      <c r="C225" t="s">
        <v>25</v>
      </c>
      <c r="D225" t="s">
        <v>506</v>
      </c>
      <c r="E225" t="s">
        <v>507</v>
      </c>
      <c r="F225">
        <v>6</v>
      </c>
      <c r="G225">
        <v>0</v>
      </c>
      <c r="H225">
        <v>6</v>
      </c>
      <c r="I225" s="7">
        <v>1</v>
      </c>
      <c r="J225" s="7">
        <v>0</v>
      </c>
      <c r="K225" s="7">
        <f>Parametri!$B$6*I225+Parametri!$B$7*J225</f>
      </c>
      <c r="L225">
        <f>IF(K225&gt;=Parametri!$B$3,3,IF(K225&gt;=Parametri!$B$4,2,1))</f>
      </c>
      <c r="M225" t="s">
        <v>28</v>
      </c>
      <c r="N225" t="s">
        <v>29</v>
      </c>
    </row>
    <row r="226" spans="1:14" x14ac:dyDescent="0.25">
      <c r="A226" s="8" t="s">
        <v>23</v>
      </c>
      <c r="B226" s="8" t="s">
        <v>505</v>
      </c>
      <c r="C226" s="8" t="s">
        <v>25</v>
      </c>
      <c r="D226" s="8" t="s">
        <v>508</v>
      </c>
      <c r="E226" s="8" t="s">
        <v>333</v>
      </c>
      <c r="F226" s="8">
        <v>3</v>
      </c>
      <c r="G226" s="8">
        <v>1</v>
      </c>
      <c r="H226" s="8">
        <v>4</v>
      </c>
      <c r="I226" s="8" t="s">
        <v>55</v>
      </c>
      <c r="J226" s="8" t="s">
        <v>55</v>
      </c>
      <c r="K226" s="8" t="s">
        <v>55</v>
      </c>
      <c r="L226" s="8" t="s">
        <v>56</v>
      </c>
      <c r="M226" s="8" t="s">
        <v>28</v>
      </c>
      <c r="N226" s="8" t="s">
        <v>56</v>
      </c>
    </row>
    <row r="227" spans="1:14" x14ac:dyDescent="0.25">
      <c r="A227" t="s">
        <v>23</v>
      </c>
      <c r="B227" t="s">
        <v>509</v>
      </c>
      <c r="C227" t="s">
        <v>75</v>
      </c>
      <c r="D227" t="s">
        <v>510</v>
      </c>
      <c r="E227" t="s">
        <v>511</v>
      </c>
      <c r="F227">
        <v>9</v>
      </c>
      <c r="G227">
        <v>7</v>
      </c>
      <c r="H227">
        <v>16</v>
      </c>
      <c r="I227" s="7">
        <v>0.8888888888888888</v>
      </c>
      <c r="J227" s="7">
        <v>0.33333333333333337</v>
      </c>
      <c r="K227" s="7">
        <f>Parametri!$B$6*I227+Parametri!$B$7*J227</f>
      </c>
      <c r="L227">
        <f>IF(K227&gt;=Parametri!$B$3,3,IF(K227&gt;=Parametri!$B$4,2,1))</f>
      </c>
      <c r="M227" t="s">
        <v>28</v>
      </c>
      <c r="N227" t="s">
        <v>29</v>
      </c>
    </row>
    <row r="228" spans="1:14" x14ac:dyDescent="0.25">
      <c r="A228" s="5" t="s">
        <v>23</v>
      </c>
      <c r="B228" s="5" t="s">
        <v>509</v>
      </c>
      <c r="C228" s="5" t="s">
        <v>75</v>
      </c>
      <c r="D228" s="5" t="s">
        <v>512</v>
      </c>
      <c r="E228" s="5" t="s">
        <v>513</v>
      </c>
      <c r="F228" s="5">
        <v>2</v>
      </c>
      <c r="G228" s="5">
        <v>9</v>
      </c>
      <c r="H228" s="5">
        <v>11</v>
      </c>
      <c r="I228" s="6">
        <v>0</v>
      </c>
      <c r="J228" s="6">
        <v>0</v>
      </c>
      <c r="K228" s="6">
        <f>Parametri!$B$6*I228+Parametri!$B$7*J228</f>
      </c>
      <c r="L228" s="5">
        <f>IF(K228&gt;=Parametri!$B$3,3,IF(K228&gt;=Parametri!$B$4,2,1))</f>
      </c>
      <c r="M228" s="5" t="s">
        <v>28</v>
      </c>
      <c r="N228" s="5" t="s">
        <v>29</v>
      </c>
    </row>
    <row r="229" spans="1:14" x14ac:dyDescent="0.25">
      <c r="A229" t="s">
        <v>23</v>
      </c>
      <c r="B229" t="s">
        <v>509</v>
      </c>
      <c r="C229" t="s">
        <v>75</v>
      </c>
      <c r="D229" t="s">
        <v>514</v>
      </c>
      <c r="E229" t="s">
        <v>515</v>
      </c>
      <c r="F229">
        <v>6</v>
      </c>
      <c r="G229">
        <v>9</v>
      </c>
      <c r="H229">
        <v>15</v>
      </c>
      <c r="I229" s="7">
        <v>0.5555555555555556</v>
      </c>
      <c r="J229" s="7">
        <v>0</v>
      </c>
      <c r="K229" s="7">
        <f>Parametri!$B$6*I229+Parametri!$B$7*J229</f>
      </c>
      <c r="L229">
        <f>IF(K229&gt;=Parametri!$B$3,3,IF(K229&gt;=Parametri!$B$4,2,1))</f>
      </c>
      <c r="M229" t="s">
        <v>28</v>
      </c>
      <c r="N229" t="s">
        <v>29</v>
      </c>
    </row>
    <row r="230" spans="1:14" x14ac:dyDescent="0.25">
      <c r="A230" s="5" t="s">
        <v>23</v>
      </c>
      <c r="B230" s="5" t="s">
        <v>509</v>
      </c>
      <c r="C230" s="5" t="s">
        <v>75</v>
      </c>
      <c r="D230" s="5" t="s">
        <v>516</v>
      </c>
      <c r="E230" s="5" t="s">
        <v>517</v>
      </c>
      <c r="F230" s="5">
        <v>9</v>
      </c>
      <c r="G230" s="5">
        <v>7</v>
      </c>
      <c r="H230" s="5">
        <v>16</v>
      </c>
      <c r="I230" s="6">
        <v>0.8888888888888888</v>
      </c>
      <c r="J230" s="6">
        <v>0.33333333333333337</v>
      </c>
      <c r="K230" s="6">
        <f>Parametri!$B$6*I230+Parametri!$B$7*J230</f>
      </c>
      <c r="L230" s="5">
        <f>IF(K230&gt;=Parametri!$B$3,3,IF(K230&gt;=Parametri!$B$4,2,1))</f>
      </c>
      <c r="M230" s="5" t="s">
        <v>28</v>
      </c>
      <c r="N230" s="5" t="s">
        <v>29</v>
      </c>
    </row>
    <row r="231" spans="1:14" x14ac:dyDescent="0.25">
      <c r="A231" t="s">
        <v>23</v>
      </c>
      <c r="B231" t="s">
        <v>509</v>
      </c>
      <c r="C231" t="s">
        <v>75</v>
      </c>
      <c r="D231" t="s">
        <v>518</v>
      </c>
      <c r="E231" t="s">
        <v>519</v>
      </c>
      <c r="F231">
        <v>9</v>
      </c>
      <c r="G231">
        <v>7</v>
      </c>
      <c r="H231">
        <v>16</v>
      </c>
      <c r="I231" s="7">
        <v>0.8888888888888888</v>
      </c>
      <c r="J231" s="7">
        <v>0.33333333333333337</v>
      </c>
      <c r="K231" s="7">
        <f>Parametri!$B$6*I231+Parametri!$B$7*J231</f>
      </c>
      <c r="L231">
        <f>IF(K231&gt;=Parametri!$B$3,3,IF(K231&gt;=Parametri!$B$4,2,1))</f>
      </c>
      <c r="M231" t="s">
        <v>28</v>
      </c>
      <c r="N231" t="s">
        <v>29</v>
      </c>
    </row>
    <row r="232" spans="1:14" x14ac:dyDescent="0.25">
      <c r="A232" s="5" t="s">
        <v>23</v>
      </c>
      <c r="B232" s="5" t="s">
        <v>509</v>
      </c>
      <c r="C232" s="5" t="s">
        <v>75</v>
      </c>
      <c r="D232" s="5" t="s">
        <v>520</v>
      </c>
      <c r="E232" s="5" t="s">
        <v>521</v>
      </c>
      <c r="F232" s="5">
        <v>6</v>
      </c>
      <c r="G232" s="5">
        <v>6</v>
      </c>
      <c r="H232" s="5">
        <v>12</v>
      </c>
      <c r="I232" s="6">
        <v>0.5555555555555556</v>
      </c>
      <c r="J232" s="6">
        <v>0.7777777777777778</v>
      </c>
      <c r="K232" s="6">
        <f>Parametri!$B$6*I232+Parametri!$B$7*J232</f>
      </c>
      <c r="L232" s="5">
        <f>IF(K232&gt;=Parametri!$B$3,3,IF(K232&gt;=Parametri!$B$4,2,1))</f>
      </c>
      <c r="M232" s="5" t="s">
        <v>28</v>
      </c>
      <c r="N232" s="5" t="s">
        <v>29</v>
      </c>
    </row>
    <row r="233" spans="1:14" x14ac:dyDescent="0.25">
      <c r="A233" t="s">
        <v>23</v>
      </c>
      <c r="B233" t="s">
        <v>509</v>
      </c>
      <c r="C233" t="s">
        <v>75</v>
      </c>
      <c r="D233" t="s">
        <v>522</v>
      </c>
      <c r="E233" t="s">
        <v>523</v>
      </c>
      <c r="F233">
        <v>4</v>
      </c>
      <c r="G233">
        <v>8</v>
      </c>
      <c r="H233">
        <v>12</v>
      </c>
      <c r="I233" s="7">
        <v>0.1111111111111111</v>
      </c>
      <c r="J233" s="7">
        <v>0.2222222222222222</v>
      </c>
      <c r="K233" s="7">
        <f>Parametri!$B$6*I233+Parametri!$B$7*J233</f>
      </c>
      <c r="L233">
        <f>IF(K233&gt;=Parametri!$B$3,3,IF(K233&gt;=Parametri!$B$4,2,1))</f>
      </c>
      <c r="M233" t="s">
        <v>28</v>
      </c>
      <c r="N233" t="s">
        <v>29</v>
      </c>
    </row>
    <row r="234" spans="1:14" x14ac:dyDescent="0.25">
      <c r="A234" s="5" t="s">
        <v>23</v>
      </c>
      <c r="B234" s="5" t="s">
        <v>509</v>
      </c>
      <c r="C234" s="5" t="s">
        <v>75</v>
      </c>
      <c r="D234" s="5" t="s">
        <v>524</v>
      </c>
      <c r="E234" s="5" t="s">
        <v>525</v>
      </c>
      <c r="F234" s="5">
        <v>12</v>
      </c>
      <c r="G234" s="5">
        <v>6</v>
      </c>
      <c r="H234" s="5">
        <v>18</v>
      </c>
      <c r="I234" s="6">
        <v>1</v>
      </c>
      <c r="J234" s="6">
        <v>0.7777777777777778</v>
      </c>
      <c r="K234" s="6">
        <f>Parametri!$B$6*I234+Parametri!$B$7*J234</f>
      </c>
      <c r="L234" s="5">
        <f>IF(K234&gt;=Parametri!$B$3,3,IF(K234&gt;=Parametri!$B$4,2,1))</f>
      </c>
      <c r="M234" s="5" t="s">
        <v>28</v>
      </c>
      <c r="N234" s="5" t="s">
        <v>29</v>
      </c>
    </row>
    <row r="235" spans="1:14" x14ac:dyDescent="0.25">
      <c r="A235" t="s">
        <v>23</v>
      </c>
      <c r="B235" t="s">
        <v>509</v>
      </c>
      <c r="C235" t="s">
        <v>75</v>
      </c>
      <c r="D235" t="s">
        <v>526</v>
      </c>
      <c r="E235" t="s">
        <v>527</v>
      </c>
      <c r="F235">
        <v>5</v>
      </c>
      <c r="G235">
        <v>7</v>
      </c>
      <c r="H235">
        <v>12</v>
      </c>
      <c r="I235" s="7">
        <v>0.3333333333333333</v>
      </c>
      <c r="J235" s="7">
        <v>0.33333333333333337</v>
      </c>
      <c r="K235" s="7">
        <f>Parametri!$B$6*I235+Parametri!$B$7*J235</f>
      </c>
      <c r="L235">
        <f>IF(K235&gt;=Parametri!$B$3,3,IF(K235&gt;=Parametri!$B$4,2,1))</f>
      </c>
      <c r="M235" t="s">
        <v>28</v>
      </c>
      <c r="N235" t="s">
        <v>29</v>
      </c>
    </row>
    <row r="236" spans="1:14" x14ac:dyDescent="0.25">
      <c r="A236" s="5" t="s">
        <v>23</v>
      </c>
      <c r="B236" s="5" t="s">
        <v>509</v>
      </c>
      <c r="C236" s="5" t="s">
        <v>75</v>
      </c>
      <c r="D236" s="5" t="s">
        <v>528</v>
      </c>
      <c r="E236" s="5" t="s">
        <v>529</v>
      </c>
      <c r="F236" s="5">
        <v>5</v>
      </c>
      <c r="G236" s="5">
        <v>5</v>
      </c>
      <c r="H236" s="5">
        <v>10</v>
      </c>
      <c r="I236" s="6">
        <v>0.3333333333333333</v>
      </c>
      <c r="J236" s="6">
        <v>1</v>
      </c>
      <c r="K236" s="6">
        <f>Parametri!$B$6*I236+Parametri!$B$7*J236</f>
      </c>
      <c r="L236" s="5">
        <f>IF(K236&gt;=Parametri!$B$3,3,IF(K236&gt;=Parametri!$B$4,2,1))</f>
      </c>
      <c r="M236" s="5" t="s">
        <v>28</v>
      </c>
      <c r="N236" s="5" t="s">
        <v>29</v>
      </c>
    </row>
    <row r="237" spans="1:14" x14ac:dyDescent="0.25">
      <c r="A237" t="s">
        <v>23</v>
      </c>
      <c r="B237" t="s">
        <v>530</v>
      </c>
      <c r="C237" t="s">
        <v>25</v>
      </c>
      <c r="D237" t="s">
        <v>531</v>
      </c>
      <c r="E237" t="s">
        <v>532</v>
      </c>
      <c r="F237">
        <v>8</v>
      </c>
      <c r="G237">
        <v>0</v>
      </c>
      <c r="H237">
        <v>8</v>
      </c>
      <c r="I237" s="7">
        <v>1</v>
      </c>
      <c r="J237" s="7">
        <v>1</v>
      </c>
      <c r="K237" s="7">
        <f>Parametri!$B$6*I237+Parametri!$B$7*J237</f>
      </c>
      <c r="L237">
        <f>IF(K237&gt;=Parametri!$B$3,3,IF(K237&gt;=Parametri!$B$4,2,1))</f>
      </c>
      <c r="M237" t="s">
        <v>28</v>
      </c>
      <c r="N237" t="s">
        <v>29</v>
      </c>
    </row>
    <row r="238" spans="1:14" x14ac:dyDescent="0.25">
      <c r="A238" s="5" t="s">
        <v>23</v>
      </c>
      <c r="B238" s="5" t="s">
        <v>530</v>
      </c>
      <c r="C238" s="5" t="s">
        <v>25</v>
      </c>
      <c r="D238" s="5" t="s">
        <v>533</v>
      </c>
      <c r="E238" s="5" t="s">
        <v>534</v>
      </c>
      <c r="F238" s="5">
        <v>5</v>
      </c>
      <c r="G238" s="5">
        <v>1</v>
      </c>
      <c r="H238" s="5">
        <v>6</v>
      </c>
      <c r="I238" s="6">
        <v>0</v>
      </c>
      <c r="J238" s="6">
        <v>0</v>
      </c>
      <c r="K238" s="6">
        <f>Parametri!$B$6*I238+Parametri!$B$7*J238</f>
      </c>
      <c r="L238" s="5">
        <f>IF(K238&gt;=Parametri!$B$3,3,IF(K238&gt;=Parametri!$B$4,2,1))</f>
      </c>
      <c r="M238" s="5" t="s">
        <v>28</v>
      </c>
      <c r="N238" s="5" t="s">
        <v>29</v>
      </c>
    </row>
    <row r="239" spans="1:14" x14ac:dyDescent="0.25">
      <c r="A239" t="s">
        <v>23</v>
      </c>
      <c r="B239" t="s">
        <v>535</v>
      </c>
      <c r="C239" t="s">
        <v>25</v>
      </c>
      <c r="D239" t="s">
        <v>536</v>
      </c>
      <c r="E239" t="s">
        <v>165</v>
      </c>
      <c r="F239">
        <v>4</v>
      </c>
      <c r="G239">
        <v>1</v>
      </c>
      <c r="H239">
        <v>5</v>
      </c>
      <c r="I239" s="7">
        <v>1</v>
      </c>
      <c r="J239" s="7">
        <v>0</v>
      </c>
      <c r="K239" s="7">
        <f>Parametri!$B$6*I239+Parametri!$B$7*J239</f>
      </c>
      <c r="L239">
        <f>IF(K239&gt;=Parametri!$B$3,3,IF(K239&gt;=Parametri!$B$4,2,1))</f>
      </c>
      <c r="M239" t="s">
        <v>28</v>
      </c>
      <c r="N239" t="s">
        <v>29</v>
      </c>
    </row>
    <row r="240" spans="1:14" x14ac:dyDescent="0.25">
      <c r="A240" s="8" t="s">
        <v>23</v>
      </c>
      <c r="B240" s="8" t="s">
        <v>535</v>
      </c>
      <c r="C240" s="8" t="s">
        <v>25</v>
      </c>
      <c r="D240" s="8" t="s">
        <v>537</v>
      </c>
      <c r="E240" s="8" t="s">
        <v>538</v>
      </c>
      <c r="F240" s="8">
        <v>4</v>
      </c>
      <c r="G240" s="8">
        <v>0</v>
      </c>
      <c r="H240" s="8">
        <v>4</v>
      </c>
      <c r="I240" s="8" t="s">
        <v>55</v>
      </c>
      <c r="J240" s="8" t="s">
        <v>55</v>
      </c>
      <c r="K240" s="8" t="s">
        <v>55</v>
      </c>
      <c r="L240" s="8" t="s">
        <v>56</v>
      </c>
      <c r="M240" s="8" t="s">
        <v>28</v>
      </c>
      <c r="N240" s="8" t="s">
        <v>56</v>
      </c>
    </row>
    <row r="241" spans="1:14" x14ac:dyDescent="0.25">
      <c r="A241" t="s">
        <v>23</v>
      </c>
      <c r="B241" t="s">
        <v>539</v>
      </c>
      <c r="C241" t="s">
        <v>25</v>
      </c>
      <c r="D241" t="s">
        <v>540</v>
      </c>
      <c r="E241" t="s">
        <v>541</v>
      </c>
      <c r="F241">
        <v>5</v>
      </c>
      <c r="G241">
        <v>1</v>
      </c>
      <c r="H241">
        <v>6</v>
      </c>
      <c r="I241" s="7">
        <v>1</v>
      </c>
      <c r="J241" s="7">
        <v>0</v>
      </c>
      <c r="K241" s="7">
        <f>Parametri!$B$6*I241+Parametri!$B$7*J241</f>
      </c>
      <c r="L241">
        <f>IF(K241&gt;=Parametri!$B$3,3,IF(K241&gt;=Parametri!$B$4,2,1))</f>
      </c>
      <c r="M241" t="s">
        <v>28</v>
      </c>
      <c r="N241" t="s">
        <v>29</v>
      </c>
    </row>
    <row r="242" spans="1:14" x14ac:dyDescent="0.25">
      <c r="A242" s="5" t="s">
        <v>23</v>
      </c>
      <c r="B242" s="5" t="s">
        <v>539</v>
      </c>
      <c r="C242" s="5" t="s">
        <v>25</v>
      </c>
      <c r="D242" s="5" t="s">
        <v>542</v>
      </c>
      <c r="E242" s="5" t="s">
        <v>543</v>
      </c>
      <c r="F242" s="5">
        <v>5</v>
      </c>
      <c r="G242" s="5">
        <v>0</v>
      </c>
      <c r="H242" s="5">
        <v>5</v>
      </c>
      <c r="I242" s="6">
        <v>1</v>
      </c>
      <c r="J242" s="6">
        <v>1</v>
      </c>
      <c r="K242" s="6">
        <f>Parametri!$B$6*I242+Parametri!$B$7*J242</f>
      </c>
      <c r="L242" s="5">
        <f>IF(K242&gt;=Parametri!$B$3,3,IF(K242&gt;=Parametri!$B$4,2,1))</f>
      </c>
      <c r="M242" s="5" t="s">
        <v>28</v>
      </c>
      <c r="N242" s="5" t="s">
        <v>29</v>
      </c>
    </row>
    <row r="243" spans="1:14" x14ac:dyDescent="0.25">
      <c r="A243" t="s">
        <v>23</v>
      </c>
      <c r="B243" t="s">
        <v>544</v>
      </c>
      <c r="C243" t="s">
        <v>25</v>
      </c>
      <c r="D243" t="s">
        <v>545</v>
      </c>
      <c r="E243" t="s">
        <v>546</v>
      </c>
      <c r="F243">
        <v>4</v>
      </c>
      <c r="G243">
        <v>1</v>
      </c>
      <c r="H243">
        <v>5</v>
      </c>
      <c r="I243" s="7">
        <v>0</v>
      </c>
      <c r="J243" s="7">
        <v>0</v>
      </c>
      <c r="K243" s="7">
        <f>Parametri!$B$6*I243+Parametri!$B$7*J243</f>
      </c>
      <c r="L243">
        <f>IF(K243&gt;=Parametri!$B$3,3,IF(K243&gt;=Parametri!$B$4,2,1))</f>
      </c>
      <c r="M243" t="s">
        <v>28</v>
      </c>
      <c r="N243" t="s">
        <v>29</v>
      </c>
    </row>
    <row r="244" spans="1:14" x14ac:dyDescent="0.25">
      <c r="A244" s="5" t="s">
        <v>23</v>
      </c>
      <c r="B244" s="5" t="s">
        <v>544</v>
      </c>
      <c r="C244" s="5" t="s">
        <v>25</v>
      </c>
      <c r="D244" s="5" t="s">
        <v>547</v>
      </c>
      <c r="E244" s="5" t="s">
        <v>548</v>
      </c>
      <c r="F244" s="5">
        <v>5</v>
      </c>
      <c r="G244" s="5">
        <v>1</v>
      </c>
      <c r="H244" s="5">
        <v>6</v>
      </c>
      <c r="I244" s="6">
        <v>1</v>
      </c>
      <c r="J244" s="6">
        <v>0</v>
      </c>
      <c r="K244" s="6">
        <f>Parametri!$B$6*I244+Parametri!$B$7*J244</f>
      </c>
      <c r="L244" s="5">
        <f>IF(K244&gt;=Parametri!$B$3,3,IF(K244&gt;=Parametri!$B$4,2,1))</f>
      </c>
      <c r="M244" s="5" t="s">
        <v>28</v>
      </c>
      <c r="N244" s="5" t="s">
        <v>29</v>
      </c>
    </row>
    <row r="245" spans="1:14" x14ac:dyDescent="0.25">
      <c r="A245" s="8" t="s">
        <v>23</v>
      </c>
      <c r="B245" s="8" t="s">
        <v>549</v>
      </c>
      <c r="C245" s="8" t="s">
        <v>25</v>
      </c>
      <c r="D245" s="8" t="s">
        <v>550</v>
      </c>
      <c r="E245" s="8" t="s">
        <v>551</v>
      </c>
      <c r="F245" s="8">
        <v>4</v>
      </c>
      <c r="G245" s="8">
        <v>0</v>
      </c>
      <c r="H245" s="8">
        <v>4</v>
      </c>
      <c r="I245" s="8" t="s">
        <v>55</v>
      </c>
      <c r="J245" s="8" t="s">
        <v>55</v>
      </c>
      <c r="K245" s="8" t="s">
        <v>55</v>
      </c>
      <c r="L245" s="8" t="s">
        <v>56</v>
      </c>
      <c r="M245" s="8" t="s">
        <v>28</v>
      </c>
      <c r="N245" s="8" t="s">
        <v>56</v>
      </c>
    </row>
    <row r="246" spans="1:14" x14ac:dyDescent="0.25">
      <c r="A246" s="8" t="s">
        <v>23</v>
      </c>
      <c r="B246" s="8" t="s">
        <v>549</v>
      </c>
      <c r="C246" s="8" t="s">
        <v>25</v>
      </c>
      <c r="D246" s="8" t="s">
        <v>552</v>
      </c>
      <c r="E246" s="8" t="s">
        <v>553</v>
      </c>
      <c r="F246" s="8">
        <v>4</v>
      </c>
      <c r="G246" s="8">
        <v>0</v>
      </c>
      <c r="H246" s="8">
        <v>4</v>
      </c>
      <c r="I246" s="8" t="s">
        <v>55</v>
      </c>
      <c r="J246" s="8" t="s">
        <v>55</v>
      </c>
      <c r="K246" s="8" t="s">
        <v>55</v>
      </c>
      <c r="L246" s="8" t="s">
        <v>56</v>
      </c>
      <c r="M246" s="8" t="s">
        <v>28</v>
      </c>
      <c r="N246" s="8" t="s">
        <v>56</v>
      </c>
    </row>
    <row r="247" spans="1:14" x14ac:dyDescent="0.25">
      <c r="A247" t="s">
        <v>23</v>
      </c>
      <c r="B247" t="s">
        <v>554</v>
      </c>
      <c r="C247" t="s">
        <v>25</v>
      </c>
      <c r="D247" t="s">
        <v>555</v>
      </c>
      <c r="E247" t="s">
        <v>556</v>
      </c>
      <c r="F247">
        <v>5</v>
      </c>
      <c r="G247">
        <v>1</v>
      </c>
      <c r="H247">
        <v>6</v>
      </c>
      <c r="I247" s="7">
        <v>0</v>
      </c>
      <c r="J247" s="7">
        <v>0</v>
      </c>
      <c r="K247" s="7">
        <f>Parametri!$B$6*I247+Parametri!$B$7*J247</f>
      </c>
      <c r="L247">
        <f>IF(K247&gt;=Parametri!$B$3,3,IF(K247&gt;=Parametri!$B$4,2,1))</f>
      </c>
      <c r="M247" t="s">
        <v>28</v>
      </c>
      <c r="N247" t="s">
        <v>29</v>
      </c>
    </row>
    <row r="248" spans="1:14" x14ac:dyDescent="0.25">
      <c r="A248" s="5" t="s">
        <v>23</v>
      </c>
      <c r="B248" s="5" t="s">
        <v>554</v>
      </c>
      <c r="C248" s="5" t="s">
        <v>25</v>
      </c>
      <c r="D248" s="5" t="s">
        <v>557</v>
      </c>
      <c r="E248" s="5" t="s">
        <v>558</v>
      </c>
      <c r="F248" s="5">
        <v>7</v>
      </c>
      <c r="G248" s="5">
        <v>0</v>
      </c>
      <c r="H248" s="5">
        <v>7</v>
      </c>
      <c r="I248" s="6">
        <v>1</v>
      </c>
      <c r="J248" s="6">
        <v>1</v>
      </c>
      <c r="K248" s="6">
        <f>Parametri!$B$6*I248+Parametri!$B$7*J248</f>
      </c>
      <c r="L248" s="5">
        <f>IF(K248&gt;=Parametri!$B$3,3,IF(K248&gt;=Parametri!$B$4,2,1))</f>
      </c>
      <c r="M248" s="5" t="s">
        <v>28</v>
      </c>
      <c r="N248" s="5" t="s">
        <v>29</v>
      </c>
    </row>
    <row r="249" spans="1:14" x14ac:dyDescent="0.25">
      <c r="A249" t="s">
        <v>23</v>
      </c>
      <c r="B249" t="s">
        <v>559</v>
      </c>
      <c r="C249" t="s">
        <v>25</v>
      </c>
      <c r="D249" t="s">
        <v>560</v>
      </c>
      <c r="E249" t="s">
        <v>561</v>
      </c>
      <c r="F249">
        <v>5</v>
      </c>
      <c r="G249">
        <v>0</v>
      </c>
      <c r="H249">
        <v>5</v>
      </c>
      <c r="I249" s="7">
        <v>1</v>
      </c>
      <c r="J249" s="7">
        <v>0</v>
      </c>
      <c r="K249" s="7">
        <f>Parametri!$B$6*I249+Parametri!$B$7*J249</f>
      </c>
      <c r="L249">
        <f>IF(K249&gt;=Parametri!$B$3,3,IF(K249&gt;=Parametri!$B$4,2,1))</f>
      </c>
      <c r="M249" t="s">
        <v>28</v>
      </c>
      <c r="N249" t="s">
        <v>29</v>
      </c>
    </row>
    <row r="250" spans="1:14" x14ac:dyDescent="0.25">
      <c r="A250" s="8" t="s">
        <v>23</v>
      </c>
      <c r="B250" s="8" t="s">
        <v>559</v>
      </c>
      <c r="C250" s="8" t="s">
        <v>25</v>
      </c>
      <c r="D250" s="8" t="s">
        <v>562</v>
      </c>
      <c r="E250" s="8" t="s">
        <v>563</v>
      </c>
      <c r="F250" s="8">
        <v>4</v>
      </c>
      <c r="G250" s="8">
        <v>0</v>
      </c>
      <c r="H250" s="8">
        <v>4</v>
      </c>
      <c r="I250" s="8" t="s">
        <v>55</v>
      </c>
      <c r="J250" s="8" t="s">
        <v>55</v>
      </c>
      <c r="K250" s="8" t="s">
        <v>55</v>
      </c>
      <c r="L250" s="8" t="s">
        <v>56</v>
      </c>
      <c r="M250" s="8" t="s">
        <v>28</v>
      </c>
      <c r="N250" s="8" t="s">
        <v>56</v>
      </c>
    </row>
    <row r="251" spans="1:14" x14ac:dyDescent="0.25">
      <c r="A251" t="s">
        <v>23</v>
      </c>
      <c r="B251" t="s">
        <v>564</v>
      </c>
      <c r="C251" t="s">
        <v>75</v>
      </c>
      <c r="D251" t="s">
        <v>565</v>
      </c>
      <c r="E251" t="s">
        <v>566</v>
      </c>
      <c r="F251">
        <v>8</v>
      </c>
      <c r="G251">
        <v>1</v>
      </c>
      <c r="H251">
        <v>9</v>
      </c>
      <c r="I251" s="7">
        <v>0.7714285714285715</v>
      </c>
      <c r="J251" s="7">
        <v>0.8571428571428572</v>
      </c>
      <c r="K251" s="7">
        <f>Parametri!$B$6*I251+Parametri!$B$7*J251</f>
      </c>
      <c r="L251">
        <f>IF(K251&gt;=Parametri!$B$3,3,IF(K251&gt;=Parametri!$B$4,2,1))</f>
      </c>
      <c r="M251" t="s">
        <v>28</v>
      </c>
      <c r="N251" t="s">
        <v>29</v>
      </c>
    </row>
    <row r="252" spans="1:14" x14ac:dyDescent="0.25">
      <c r="A252" s="5" t="s">
        <v>23</v>
      </c>
      <c r="B252" s="5" t="s">
        <v>564</v>
      </c>
      <c r="C252" s="5" t="s">
        <v>75</v>
      </c>
      <c r="D252" s="5" t="s">
        <v>567</v>
      </c>
      <c r="E252" s="5" t="s">
        <v>568</v>
      </c>
      <c r="F252" s="5">
        <v>5</v>
      </c>
      <c r="G252" s="5">
        <v>1</v>
      </c>
      <c r="H252" s="5">
        <v>6</v>
      </c>
      <c r="I252" s="6">
        <v>0.45714285714285713</v>
      </c>
      <c r="J252" s="6">
        <v>0.8571428571428572</v>
      </c>
      <c r="K252" s="6">
        <f>Parametri!$B$6*I252+Parametri!$B$7*J252</f>
      </c>
      <c r="L252" s="5">
        <f>IF(K252&gt;=Parametri!$B$3,3,IF(K252&gt;=Parametri!$B$4,2,1))</f>
      </c>
      <c r="M252" s="5" t="s">
        <v>28</v>
      </c>
      <c r="N252" s="5" t="s">
        <v>29</v>
      </c>
    </row>
    <row r="253" spans="1:14" x14ac:dyDescent="0.25">
      <c r="A253" t="s">
        <v>23</v>
      </c>
      <c r="B253" t="s">
        <v>564</v>
      </c>
      <c r="C253" t="s">
        <v>75</v>
      </c>
      <c r="D253" t="s">
        <v>569</v>
      </c>
      <c r="E253" t="s">
        <v>570</v>
      </c>
      <c r="F253">
        <v>6</v>
      </c>
      <c r="G253">
        <v>2</v>
      </c>
      <c r="H253">
        <v>8</v>
      </c>
      <c r="I253" s="7">
        <v>0.6</v>
      </c>
      <c r="J253" s="7">
        <v>0.7142857142857143</v>
      </c>
      <c r="K253" s="7">
        <f>Parametri!$B$6*I253+Parametri!$B$7*J253</f>
      </c>
      <c r="L253">
        <f>IF(K253&gt;=Parametri!$B$3,3,IF(K253&gt;=Parametri!$B$4,2,1))</f>
      </c>
      <c r="M253" t="s">
        <v>28</v>
      </c>
      <c r="N253" t="s">
        <v>29</v>
      </c>
    </row>
    <row r="254" spans="1:14" x14ac:dyDescent="0.25">
      <c r="A254" s="5" t="s">
        <v>23</v>
      </c>
      <c r="B254" s="5" t="s">
        <v>564</v>
      </c>
      <c r="C254" s="5" t="s">
        <v>75</v>
      </c>
      <c r="D254" s="5" t="s">
        <v>571</v>
      </c>
      <c r="E254" s="5" t="s">
        <v>572</v>
      </c>
      <c r="F254" s="5">
        <v>5</v>
      </c>
      <c r="G254" s="5">
        <v>3</v>
      </c>
      <c r="H254" s="5">
        <v>8</v>
      </c>
      <c r="I254" s="6">
        <v>0.45714285714285713</v>
      </c>
      <c r="J254" s="6">
        <v>0.4285714285714286</v>
      </c>
      <c r="K254" s="6">
        <f>Parametri!$B$6*I254+Parametri!$B$7*J254</f>
      </c>
      <c r="L254" s="5">
        <f>IF(K254&gt;=Parametri!$B$3,3,IF(K254&gt;=Parametri!$B$4,2,1))</f>
      </c>
      <c r="M254" s="5" t="s">
        <v>28</v>
      </c>
      <c r="N254" s="5" t="s">
        <v>29</v>
      </c>
    </row>
    <row r="255" spans="1:14" x14ac:dyDescent="0.25">
      <c r="A255" t="s">
        <v>23</v>
      </c>
      <c r="B255" t="s">
        <v>564</v>
      </c>
      <c r="C255" t="s">
        <v>75</v>
      </c>
      <c r="D255" t="s">
        <v>573</v>
      </c>
      <c r="E255" t="s">
        <v>574</v>
      </c>
      <c r="F255">
        <v>9</v>
      </c>
      <c r="G255">
        <v>3</v>
      </c>
      <c r="H255">
        <v>12</v>
      </c>
      <c r="I255" s="7">
        <v>0.8</v>
      </c>
      <c r="J255" s="7">
        <v>0.4285714285714286</v>
      </c>
      <c r="K255" s="7">
        <f>Parametri!$B$6*I255+Parametri!$B$7*J255</f>
      </c>
      <c r="L255">
        <f>IF(K255&gt;=Parametri!$B$3,3,IF(K255&gt;=Parametri!$B$4,2,1))</f>
      </c>
      <c r="M255" t="s">
        <v>28</v>
      </c>
      <c r="N255" t="s">
        <v>29</v>
      </c>
    </row>
    <row r="256" spans="1:14" x14ac:dyDescent="0.25">
      <c r="A256" s="5" t="s">
        <v>23</v>
      </c>
      <c r="B256" s="5" t="s">
        <v>564</v>
      </c>
      <c r="C256" s="5" t="s">
        <v>75</v>
      </c>
      <c r="D256" s="5" t="s">
        <v>575</v>
      </c>
      <c r="E256" s="5" t="s">
        <v>576</v>
      </c>
      <c r="F256" s="5">
        <v>6</v>
      </c>
      <c r="G256" s="5">
        <v>3</v>
      </c>
      <c r="H256" s="5">
        <v>9</v>
      </c>
      <c r="I256" s="6">
        <v>0.6</v>
      </c>
      <c r="J256" s="6">
        <v>0.4285714285714286</v>
      </c>
      <c r="K256" s="6">
        <f>Parametri!$B$6*I256+Parametri!$B$7*J256</f>
      </c>
      <c r="L256" s="5">
        <f>IF(K256&gt;=Parametri!$B$3,3,IF(K256&gt;=Parametri!$B$4,2,1))</f>
      </c>
      <c r="M256" s="5" t="s">
        <v>28</v>
      </c>
      <c r="N256" s="5" t="s">
        <v>29</v>
      </c>
    </row>
    <row r="257" spans="1:14" x14ac:dyDescent="0.25">
      <c r="A257" t="s">
        <v>23</v>
      </c>
      <c r="B257" t="s">
        <v>564</v>
      </c>
      <c r="C257" t="s">
        <v>75</v>
      </c>
      <c r="D257" t="s">
        <v>577</v>
      </c>
      <c r="E257" t="s">
        <v>578</v>
      </c>
      <c r="F257">
        <v>5</v>
      </c>
      <c r="G257">
        <v>6</v>
      </c>
      <c r="H257">
        <v>11</v>
      </c>
      <c r="I257" s="7">
        <v>0.45714285714285713</v>
      </c>
      <c r="J257" s="7">
        <v>0.02857142857142858</v>
      </c>
      <c r="K257" s="7">
        <f>Parametri!$B$6*I257+Parametri!$B$7*J257</f>
      </c>
      <c r="L257">
        <f>IF(K257&gt;=Parametri!$B$3,3,IF(K257&gt;=Parametri!$B$4,2,1))</f>
      </c>
      <c r="M257" t="s">
        <v>28</v>
      </c>
      <c r="N257" t="s">
        <v>29</v>
      </c>
    </row>
    <row r="258" spans="1:14" x14ac:dyDescent="0.25">
      <c r="A258" s="5" t="s">
        <v>23</v>
      </c>
      <c r="B258" s="5" t="s">
        <v>564</v>
      </c>
      <c r="C258" s="5" t="s">
        <v>75</v>
      </c>
      <c r="D258" s="5" t="s">
        <v>579</v>
      </c>
      <c r="E258" s="5" t="s">
        <v>580</v>
      </c>
      <c r="F258" s="5">
        <v>6</v>
      </c>
      <c r="G258" s="5">
        <v>2</v>
      </c>
      <c r="H258" s="5">
        <v>8</v>
      </c>
      <c r="I258" s="6">
        <v>0.6</v>
      </c>
      <c r="J258" s="6">
        <v>0.7142857142857143</v>
      </c>
      <c r="K258" s="6">
        <f>Parametri!$B$6*I258+Parametri!$B$7*J258</f>
      </c>
      <c r="L258" s="5">
        <f>IF(K258&gt;=Parametri!$B$3,3,IF(K258&gt;=Parametri!$B$4,2,1))</f>
      </c>
      <c r="M258" s="5" t="s">
        <v>28</v>
      </c>
      <c r="N258" s="5" t="s">
        <v>29</v>
      </c>
    </row>
    <row r="259" spans="1:14" x14ac:dyDescent="0.25">
      <c r="A259" t="s">
        <v>23</v>
      </c>
      <c r="B259" t="s">
        <v>564</v>
      </c>
      <c r="C259" t="s">
        <v>75</v>
      </c>
      <c r="D259" t="s">
        <v>581</v>
      </c>
      <c r="E259" t="s">
        <v>582</v>
      </c>
      <c r="F259">
        <v>5</v>
      </c>
      <c r="G259">
        <v>4</v>
      </c>
      <c r="H259">
        <v>9</v>
      </c>
      <c r="I259" s="7">
        <v>0.45714285714285713</v>
      </c>
      <c r="J259" s="7">
        <v>0.2571428571428571</v>
      </c>
      <c r="K259" s="7">
        <f>Parametri!$B$6*I259+Parametri!$B$7*J259</f>
      </c>
      <c r="L259">
        <f>IF(K259&gt;=Parametri!$B$3,3,IF(K259&gt;=Parametri!$B$4,2,1))</f>
      </c>
      <c r="M259" t="s">
        <v>28</v>
      </c>
      <c r="N259" t="s">
        <v>29</v>
      </c>
    </row>
    <row r="260" spans="1:14" x14ac:dyDescent="0.25">
      <c r="A260" s="5" t="s">
        <v>23</v>
      </c>
      <c r="B260" s="5" t="s">
        <v>564</v>
      </c>
      <c r="C260" s="5" t="s">
        <v>75</v>
      </c>
      <c r="D260" s="5" t="s">
        <v>583</v>
      </c>
      <c r="E260" s="5" t="s">
        <v>584</v>
      </c>
      <c r="F260" s="5">
        <v>7</v>
      </c>
      <c r="G260" s="5">
        <v>3</v>
      </c>
      <c r="H260" s="5">
        <v>10</v>
      </c>
      <c r="I260" s="6">
        <v>0.7142857142857143</v>
      </c>
      <c r="J260" s="6">
        <v>0.4285714285714286</v>
      </c>
      <c r="K260" s="6">
        <f>Parametri!$B$6*I260+Parametri!$B$7*J260</f>
      </c>
      <c r="L260" s="5">
        <f>IF(K260&gt;=Parametri!$B$3,3,IF(K260&gt;=Parametri!$B$4,2,1))</f>
      </c>
      <c r="M260" s="5" t="s">
        <v>28</v>
      </c>
      <c r="N260" s="5" t="s">
        <v>29</v>
      </c>
    </row>
    <row r="261" spans="1:14" x14ac:dyDescent="0.25">
      <c r="A261" t="s">
        <v>23</v>
      </c>
      <c r="B261" t="s">
        <v>564</v>
      </c>
      <c r="C261" t="s">
        <v>75</v>
      </c>
      <c r="D261" t="s">
        <v>585</v>
      </c>
      <c r="E261" t="s">
        <v>586</v>
      </c>
      <c r="F261">
        <v>5</v>
      </c>
      <c r="G261">
        <v>6</v>
      </c>
      <c r="H261">
        <v>11</v>
      </c>
      <c r="I261" s="7">
        <v>0.45714285714285713</v>
      </c>
      <c r="J261" s="7">
        <v>0.02857142857142858</v>
      </c>
      <c r="K261" s="7">
        <f>Parametri!$B$6*I261+Parametri!$B$7*J261</f>
      </c>
      <c r="L261">
        <f>IF(K261&gt;=Parametri!$B$3,3,IF(K261&gt;=Parametri!$B$4,2,1))</f>
      </c>
      <c r="M261" t="s">
        <v>28</v>
      </c>
      <c r="N261" t="s">
        <v>29</v>
      </c>
    </row>
    <row r="262" spans="1:14" x14ac:dyDescent="0.25">
      <c r="A262" s="5" t="s">
        <v>23</v>
      </c>
      <c r="B262" s="5" t="s">
        <v>564</v>
      </c>
      <c r="C262" s="5" t="s">
        <v>75</v>
      </c>
      <c r="D262" s="5" t="s">
        <v>587</v>
      </c>
      <c r="E262" s="5" t="s">
        <v>588</v>
      </c>
      <c r="F262" s="5">
        <v>5</v>
      </c>
      <c r="G262" s="5">
        <v>5</v>
      </c>
      <c r="H262" s="5">
        <v>10</v>
      </c>
      <c r="I262" s="6">
        <v>0.45714285714285713</v>
      </c>
      <c r="J262" s="6">
        <v>0.1428571428571429</v>
      </c>
      <c r="K262" s="6">
        <f>Parametri!$B$6*I262+Parametri!$B$7*J262</f>
      </c>
      <c r="L262" s="5">
        <f>IF(K262&gt;=Parametri!$B$3,3,IF(K262&gt;=Parametri!$B$4,2,1))</f>
      </c>
      <c r="M262" s="5" t="s">
        <v>28</v>
      </c>
      <c r="N262" s="5" t="s">
        <v>29</v>
      </c>
    </row>
    <row r="263" spans="1:14" x14ac:dyDescent="0.25">
      <c r="A263" t="s">
        <v>23</v>
      </c>
      <c r="B263" t="s">
        <v>564</v>
      </c>
      <c r="C263" t="s">
        <v>75</v>
      </c>
      <c r="D263" t="s">
        <v>589</v>
      </c>
      <c r="E263" t="s">
        <v>590</v>
      </c>
      <c r="F263">
        <v>4</v>
      </c>
      <c r="G263">
        <v>3</v>
      </c>
      <c r="H263">
        <v>7</v>
      </c>
      <c r="I263" s="7">
        <v>0.2</v>
      </c>
      <c r="J263" s="7">
        <v>0.4285714285714286</v>
      </c>
      <c r="K263" s="7">
        <f>Parametri!$B$6*I263+Parametri!$B$7*J263</f>
      </c>
      <c r="L263">
        <f>IF(K263&gt;=Parametri!$B$3,3,IF(K263&gt;=Parametri!$B$4,2,1))</f>
      </c>
      <c r="M263" t="s">
        <v>28</v>
      </c>
      <c r="N263" t="s">
        <v>29</v>
      </c>
    </row>
    <row r="264" spans="1:14" x14ac:dyDescent="0.25">
      <c r="A264" s="5" t="s">
        <v>23</v>
      </c>
      <c r="B264" s="5" t="s">
        <v>564</v>
      </c>
      <c r="C264" s="5" t="s">
        <v>75</v>
      </c>
      <c r="D264" s="5" t="s">
        <v>591</v>
      </c>
      <c r="E264" s="5" t="s">
        <v>592</v>
      </c>
      <c r="F264" s="5">
        <v>4</v>
      </c>
      <c r="G264" s="5">
        <v>3</v>
      </c>
      <c r="H264" s="5">
        <v>7</v>
      </c>
      <c r="I264" s="6">
        <v>0.2</v>
      </c>
      <c r="J264" s="6">
        <v>0.4285714285714286</v>
      </c>
      <c r="K264" s="6">
        <f>Parametri!$B$6*I264+Parametri!$B$7*J264</f>
      </c>
      <c r="L264" s="5">
        <f>IF(K264&gt;=Parametri!$B$3,3,IF(K264&gt;=Parametri!$B$4,2,1))</f>
      </c>
      <c r="M264" s="5" t="s">
        <v>28</v>
      </c>
      <c r="N264" s="5" t="s">
        <v>29</v>
      </c>
    </row>
    <row r="265" spans="1:14" x14ac:dyDescent="0.25">
      <c r="A265" t="s">
        <v>23</v>
      </c>
      <c r="B265" t="s">
        <v>564</v>
      </c>
      <c r="C265" t="s">
        <v>75</v>
      </c>
      <c r="D265" t="s">
        <v>593</v>
      </c>
      <c r="E265" t="s">
        <v>594</v>
      </c>
      <c r="F265">
        <v>12</v>
      </c>
      <c r="G265">
        <v>2</v>
      </c>
      <c r="H265">
        <v>14</v>
      </c>
      <c r="I265" s="7">
        <v>0.9428571428571428</v>
      </c>
      <c r="J265" s="7">
        <v>0.7142857142857143</v>
      </c>
      <c r="K265" s="7">
        <f>Parametri!$B$6*I265+Parametri!$B$7*J265</f>
      </c>
      <c r="L265">
        <f>IF(K265&gt;=Parametri!$B$3,3,IF(K265&gt;=Parametri!$B$4,2,1))</f>
      </c>
      <c r="M265" t="s">
        <v>28</v>
      </c>
      <c r="N265" t="s">
        <v>29</v>
      </c>
    </row>
    <row r="266" spans="1:14" x14ac:dyDescent="0.25">
      <c r="A266" s="5" t="s">
        <v>23</v>
      </c>
      <c r="B266" s="5" t="s">
        <v>564</v>
      </c>
      <c r="C266" s="5" t="s">
        <v>75</v>
      </c>
      <c r="D266" s="5" t="s">
        <v>595</v>
      </c>
      <c r="E266" s="5" t="s">
        <v>596</v>
      </c>
      <c r="F266" s="5">
        <v>10</v>
      </c>
      <c r="G266" s="5">
        <v>4</v>
      </c>
      <c r="H266" s="5">
        <v>14</v>
      </c>
      <c r="I266" s="6">
        <v>0.8857142857142857</v>
      </c>
      <c r="J266" s="6">
        <v>0.2571428571428571</v>
      </c>
      <c r="K266" s="6">
        <f>Parametri!$B$6*I266+Parametri!$B$7*J266</f>
      </c>
      <c r="L266" s="5">
        <f>IF(K266&gt;=Parametri!$B$3,3,IF(K266&gt;=Parametri!$B$4,2,1))</f>
      </c>
      <c r="M266" s="5" t="s">
        <v>28</v>
      </c>
      <c r="N266" s="5" t="s">
        <v>29</v>
      </c>
    </row>
    <row r="267" spans="1:14" x14ac:dyDescent="0.25">
      <c r="A267" t="s">
        <v>23</v>
      </c>
      <c r="B267" t="s">
        <v>564</v>
      </c>
      <c r="C267" t="s">
        <v>75</v>
      </c>
      <c r="D267" t="s">
        <v>597</v>
      </c>
      <c r="E267" t="s">
        <v>598</v>
      </c>
      <c r="F267">
        <v>6</v>
      </c>
      <c r="G267">
        <v>7</v>
      </c>
      <c r="H267">
        <v>13</v>
      </c>
      <c r="I267" s="7">
        <v>0.6</v>
      </c>
      <c r="J267" s="7">
        <v>0</v>
      </c>
      <c r="K267" s="7">
        <f>Parametri!$B$6*I267+Parametri!$B$7*J267</f>
      </c>
      <c r="L267">
        <f>IF(K267&gt;=Parametri!$B$3,3,IF(K267&gt;=Parametri!$B$4,2,1))</f>
      </c>
      <c r="M267" t="s">
        <v>28</v>
      </c>
      <c r="N267" t="s">
        <v>29</v>
      </c>
    </row>
    <row r="268" spans="1:14" x14ac:dyDescent="0.25">
      <c r="A268" s="5" t="s">
        <v>23</v>
      </c>
      <c r="B268" s="5" t="s">
        <v>564</v>
      </c>
      <c r="C268" s="5" t="s">
        <v>75</v>
      </c>
      <c r="D268" s="5" t="s">
        <v>599</v>
      </c>
      <c r="E268" s="5" t="s">
        <v>600</v>
      </c>
      <c r="F268" s="5">
        <v>6</v>
      </c>
      <c r="G268" s="5">
        <v>0</v>
      </c>
      <c r="H268" s="5">
        <v>6</v>
      </c>
      <c r="I268" s="6">
        <v>0.6</v>
      </c>
      <c r="J268" s="6">
        <v>0.9714285714285714</v>
      </c>
      <c r="K268" s="6">
        <f>Parametri!$B$6*I268+Parametri!$B$7*J268</f>
      </c>
      <c r="L268" s="5">
        <f>IF(K268&gt;=Parametri!$B$3,3,IF(K268&gt;=Parametri!$B$4,2,1))</f>
      </c>
      <c r="M268" s="5" t="s">
        <v>28</v>
      </c>
      <c r="N268" s="5" t="s">
        <v>29</v>
      </c>
    </row>
    <row r="269" spans="1:14" x14ac:dyDescent="0.25">
      <c r="A269" t="s">
        <v>23</v>
      </c>
      <c r="B269" t="s">
        <v>564</v>
      </c>
      <c r="C269" t="s">
        <v>75</v>
      </c>
      <c r="D269" t="s">
        <v>601</v>
      </c>
      <c r="E269" t="s">
        <v>602</v>
      </c>
      <c r="F269">
        <v>4</v>
      </c>
      <c r="G269">
        <v>3</v>
      </c>
      <c r="H269">
        <v>7</v>
      </c>
      <c r="I269" s="7">
        <v>0.2</v>
      </c>
      <c r="J269" s="7">
        <v>0.4285714285714286</v>
      </c>
      <c r="K269" s="7">
        <f>Parametri!$B$6*I269+Parametri!$B$7*J269</f>
      </c>
      <c r="L269">
        <f>IF(K269&gt;=Parametri!$B$3,3,IF(K269&gt;=Parametri!$B$4,2,1))</f>
      </c>
      <c r="M269" t="s">
        <v>28</v>
      </c>
      <c r="N269" t="s">
        <v>29</v>
      </c>
    </row>
    <row r="270" spans="1:14" x14ac:dyDescent="0.25">
      <c r="A270" s="5" t="s">
        <v>23</v>
      </c>
      <c r="B270" s="5" t="s">
        <v>564</v>
      </c>
      <c r="C270" s="5" t="s">
        <v>75</v>
      </c>
      <c r="D270" s="5" t="s">
        <v>603</v>
      </c>
      <c r="E270" s="5" t="s">
        <v>604</v>
      </c>
      <c r="F270" s="5">
        <v>4</v>
      </c>
      <c r="G270" s="5">
        <v>4</v>
      </c>
      <c r="H270" s="5">
        <v>8</v>
      </c>
      <c r="I270" s="6">
        <v>0.2</v>
      </c>
      <c r="J270" s="6">
        <v>0.2571428571428571</v>
      </c>
      <c r="K270" s="6">
        <f>Parametri!$B$6*I270+Parametri!$B$7*J270</f>
      </c>
      <c r="L270" s="5">
        <f>IF(K270&gt;=Parametri!$B$3,3,IF(K270&gt;=Parametri!$B$4,2,1))</f>
      </c>
      <c r="M270" s="5" t="s">
        <v>28</v>
      </c>
      <c r="N270" s="5" t="s">
        <v>29</v>
      </c>
    </row>
    <row r="271" spans="1:14" x14ac:dyDescent="0.25">
      <c r="A271" t="s">
        <v>23</v>
      </c>
      <c r="B271" t="s">
        <v>564</v>
      </c>
      <c r="C271" t="s">
        <v>75</v>
      </c>
      <c r="D271" t="s">
        <v>605</v>
      </c>
      <c r="E271" t="s">
        <v>606</v>
      </c>
      <c r="F271">
        <v>5</v>
      </c>
      <c r="G271">
        <v>5</v>
      </c>
      <c r="H271">
        <v>10</v>
      </c>
      <c r="I271" s="7">
        <v>0.45714285714285713</v>
      </c>
      <c r="J271" s="7">
        <v>0.1428571428571429</v>
      </c>
      <c r="K271" s="7">
        <f>Parametri!$B$6*I271+Parametri!$B$7*J271</f>
      </c>
      <c r="L271">
        <f>IF(K271&gt;=Parametri!$B$3,3,IF(K271&gt;=Parametri!$B$4,2,1))</f>
      </c>
      <c r="M271" t="s">
        <v>28</v>
      </c>
      <c r="N271" t="s">
        <v>29</v>
      </c>
    </row>
    <row r="272" spans="1:14" x14ac:dyDescent="0.25">
      <c r="A272" s="5" t="s">
        <v>23</v>
      </c>
      <c r="B272" s="5" t="s">
        <v>564</v>
      </c>
      <c r="C272" s="5" t="s">
        <v>75</v>
      </c>
      <c r="D272" s="5" t="s">
        <v>607</v>
      </c>
      <c r="E272" s="5" t="s">
        <v>608</v>
      </c>
      <c r="F272" s="5">
        <v>4</v>
      </c>
      <c r="G272" s="5">
        <v>6</v>
      </c>
      <c r="H272" s="5">
        <v>10</v>
      </c>
      <c r="I272" s="6">
        <v>0.2</v>
      </c>
      <c r="J272" s="6">
        <v>0.02857142857142858</v>
      </c>
      <c r="K272" s="6">
        <f>Parametri!$B$6*I272+Parametri!$B$7*J272</f>
      </c>
      <c r="L272" s="5">
        <f>IF(K272&gt;=Parametri!$B$3,3,IF(K272&gt;=Parametri!$B$4,2,1))</f>
      </c>
      <c r="M272" s="5" t="s">
        <v>28</v>
      </c>
      <c r="N272" s="5" t="s">
        <v>29</v>
      </c>
    </row>
    <row r="273" spans="1:14" x14ac:dyDescent="0.25">
      <c r="A273" t="s">
        <v>23</v>
      </c>
      <c r="B273" t="s">
        <v>564</v>
      </c>
      <c r="C273" t="s">
        <v>75</v>
      </c>
      <c r="D273" t="s">
        <v>609</v>
      </c>
      <c r="E273" t="s">
        <v>610</v>
      </c>
      <c r="F273">
        <v>4</v>
      </c>
      <c r="G273">
        <v>6</v>
      </c>
      <c r="H273">
        <v>10</v>
      </c>
      <c r="I273" s="7">
        <v>0.2</v>
      </c>
      <c r="J273" s="7">
        <v>0.02857142857142858</v>
      </c>
      <c r="K273" s="7">
        <f>Parametri!$B$6*I273+Parametri!$B$7*J273</f>
      </c>
      <c r="L273">
        <f>IF(K273&gt;=Parametri!$B$3,3,IF(K273&gt;=Parametri!$B$4,2,1))</f>
      </c>
      <c r="M273" t="s">
        <v>28</v>
      </c>
      <c r="N273" t="s">
        <v>29</v>
      </c>
    </row>
    <row r="274" spans="1:14" x14ac:dyDescent="0.25">
      <c r="A274" s="5" t="s">
        <v>23</v>
      </c>
      <c r="B274" s="5" t="s">
        <v>564</v>
      </c>
      <c r="C274" s="5" t="s">
        <v>75</v>
      </c>
      <c r="D274" s="5" t="s">
        <v>611</v>
      </c>
      <c r="E274" s="5" t="s">
        <v>612</v>
      </c>
      <c r="F274" s="5">
        <v>7</v>
      </c>
      <c r="G274" s="5">
        <v>4</v>
      </c>
      <c r="H274" s="5">
        <v>11</v>
      </c>
      <c r="I274" s="6">
        <v>0.7142857142857143</v>
      </c>
      <c r="J274" s="6">
        <v>0.2571428571428571</v>
      </c>
      <c r="K274" s="6">
        <f>Parametri!$B$6*I274+Parametri!$B$7*J274</f>
      </c>
      <c r="L274" s="5">
        <f>IF(K274&gt;=Parametri!$B$3,3,IF(K274&gt;=Parametri!$B$4,2,1))</f>
      </c>
      <c r="M274" s="5" t="s">
        <v>28</v>
      </c>
      <c r="N274" s="5" t="s">
        <v>29</v>
      </c>
    </row>
    <row r="275" spans="1:14" x14ac:dyDescent="0.25">
      <c r="A275" t="s">
        <v>23</v>
      </c>
      <c r="B275" t="s">
        <v>564</v>
      </c>
      <c r="C275" t="s">
        <v>75</v>
      </c>
      <c r="D275" t="s">
        <v>613</v>
      </c>
      <c r="E275" t="s">
        <v>614</v>
      </c>
      <c r="F275">
        <v>10</v>
      </c>
      <c r="G275">
        <v>3</v>
      </c>
      <c r="H275">
        <v>13</v>
      </c>
      <c r="I275" s="7">
        <v>0.8857142857142857</v>
      </c>
      <c r="J275" s="7">
        <v>0.4285714285714286</v>
      </c>
      <c r="K275" s="7">
        <f>Parametri!$B$6*I275+Parametri!$B$7*J275</f>
      </c>
      <c r="L275">
        <f>IF(K275&gt;=Parametri!$B$3,3,IF(K275&gt;=Parametri!$B$4,2,1))</f>
      </c>
      <c r="M275" t="s">
        <v>28</v>
      </c>
      <c r="N275" t="s">
        <v>29</v>
      </c>
    </row>
    <row r="276" spans="1:14" x14ac:dyDescent="0.25">
      <c r="A276" s="5" t="s">
        <v>23</v>
      </c>
      <c r="B276" s="5" t="s">
        <v>564</v>
      </c>
      <c r="C276" s="5" t="s">
        <v>75</v>
      </c>
      <c r="D276" s="5" t="s">
        <v>615</v>
      </c>
      <c r="E276" s="5" t="s">
        <v>616</v>
      </c>
      <c r="F276" s="5">
        <v>11</v>
      </c>
      <c r="G276" s="5">
        <v>1</v>
      </c>
      <c r="H276" s="5">
        <v>12</v>
      </c>
      <c r="I276" s="6">
        <v>0.9142857142857143</v>
      </c>
      <c r="J276" s="6">
        <v>0.8571428571428572</v>
      </c>
      <c r="K276" s="6">
        <f>Parametri!$B$6*I276+Parametri!$B$7*J276</f>
      </c>
      <c r="L276" s="5">
        <f>IF(K276&gt;=Parametri!$B$3,3,IF(K276&gt;=Parametri!$B$4,2,1))</f>
      </c>
      <c r="M276" s="5" t="s">
        <v>28</v>
      </c>
      <c r="N276" s="5" t="s">
        <v>29</v>
      </c>
    </row>
    <row r="277" spans="1:14" x14ac:dyDescent="0.25">
      <c r="A277" t="s">
        <v>23</v>
      </c>
      <c r="B277" t="s">
        <v>564</v>
      </c>
      <c r="C277" t="s">
        <v>75</v>
      </c>
      <c r="D277" t="s">
        <v>617</v>
      </c>
      <c r="E277" t="s">
        <v>618</v>
      </c>
      <c r="F277">
        <v>7</v>
      </c>
      <c r="G277">
        <v>2</v>
      </c>
      <c r="H277">
        <v>9</v>
      </c>
      <c r="I277" s="7">
        <v>0.7142857142857143</v>
      </c>
      <c r="J277" s="7">
        <v>0.7142857142857143</v>
      </c>
      <c r="K277" s="7">
        <f>Parametri!$B$6*I277+Parametri!$B$7*J277</f>
      </c>
      <c r="L277">
        <f>IF(K277&gt;=Parametri!$B$3,3,IF(K277&gt;=Parametri!$B$4,2,1))</f>
      </c>
      <c r="M277" t="s">
        <v>28</v>
      </c>
      <c r="N277" t="s">
        <v>29</v>
      </c>
    </row>
    <row r="278" spans="1:14" x14ac:dyDescent="0.25">
      <c r="A278" s="5" t="s">
        <v>23</v>
      </c>
      <c r="B278" s="5" t="s">
        <v>564</v>
      </c>
      <c r="C278" s="5" t="s">
        <v>75</v>
      </c>
      <c r="D278" s="5" t="s">
        <v>619</v>
      </c>
      <c r="E278" s="5" t="s">
        <v>620</v>
      </c>
      <c r="F278" s="5">
        <v>4</v>
      </c>
      <c r="G278" s="5">
        <v>4</v>
      </c>
      <c r="H278" s="5">
        <v>8</v>
      </c>
      <c r="I278" s="6">
        <v>0.2</v>
      </c>
      <c r="J278" s="6">
        <v>0.2571428571428571</v>
      </c>
      <c r="K278" s="6">
        <f>Parametri!$B$6*I278+Parametri!$B$7*J278</f>
      </c>
      <c r="L278" s="5">
        <f>IF(K278&gt;=Parametri!$B$3,3,IF(K278&gt;=Parametri!$B$4,2,1))</f>
      </c>
      <c r="M278" s="5" t="s">
        <v>28</v>
      </c>
      <c r="N278" s="5" t="s">
        <v>29</v>
      </c>
    </row>
    <row r="279" spans="1:14" x14ac:dyDescent="0.25">
      <c r="A279" t="s">
        <v>23</v>
      </c>
      <c r="B279" t="s">
        <v>564</v>
      </c>
      <c r="C279" t="s">
        <v>75</v>
      </c>
      <c r="D279" t="s">
        <v>621</v>
      </c>
      <c r="E279" t="s">
        <v>622</v>
      </c>
      <c r="F279">
        <v>7</v>
      </c>
      <c r="G279">
        <v>4</v>
      </c>
      <c r="H279">
        <v>11</v>
      </c>
      <c r="I279" s="7">
        <v>0.7142857142857143</v>
      </c>
      <c r="J279" s="7">
        <v>0.2571428571428571</v>
      </c>
      <c r="K279" s="7">
        <f>Parametri!$B$6*I279+Parametri!$B$7*J279</f>
      </c>
      <c r="L279">
        <f>IF(K279&gt;=Parametri!$B$3,3,IF(K279&gt;=Parametri!$B$4,2,1))</f>
      </c>
      <c r="M279" t="s">
        <v>28</v>
      </c>
      <c r="N279" t="s">
        <v>29</v>
      </c>
    </row>
    <row r="280" spans="1:14" x14ac:dyDescent="0.25">
      <c r="A280" s="5" t="s">
        <v>23</v>
      </c>
      <c r="B280" s="5" t="s">
        <v>564</v>
      </c>
      <c r="C280" s="5" t="s">
        <v>75</v>
      </c>
      <c r="D280" s="5" t="s">
        <v>623</v>
      </c>
      <c r="E280" s="5" t="s">
        <v>624</v>
      </c>
      <c r="F280" s="5">
        <v>5</v>
      </c>
      <c r="G280" s="5">
        <v>3</v>
      </c>
      <c r="H280" s="5">
        <v>8</v>
      </c>
      <c r="I280" s="6">
        <v>0.45714285714285713</v>
      </c>
      <c r="J280" s="6">
        <v>0.4285714285714286</v>
      </c>
      <c r="K280" s="6">
        <f>Parametri!$B$6*I280+Parametri!$B$7*J280</f>
      </c>
      <c r="L280" s="5">
        <f>IF(K280&gt;=Parametri!$B$3,3,IF(K280&gt;=Parametri!$B$4,2,1))</f>
      </c>
      <c r="M280" s="5" t="s">
        <v>28</v>
      </c>
      <c r="N280" s="5" t="s">
        <v>29</v>
      </c>
    </row>
    <row r="281" spans="1:14" x14ac:dyDescent="0.25">
      <c r="A281" t="s">
        <v>23</v>
      </c>
      <c r="B281" t="s">
        <v>564</v>
      </c>
      <c r="C281" t="s">
        <v>75</v>
      </c>
      <c r="D281" t="s">
        <v>625</v>
      </c>
      <c r="E281" t="s">
        <v>626</v>
      </c>
      <c r="F281">
        <v>8</v>
      </c>
      <c r="G281">
        <v>3</v>
      </c>
      <c r="H281">
        <v>11</v>
      </c>
      <c r="I281" s="7">
        <v>0.7714285714285715</v>
      </c>
      <c r="J281" s="7">
        <v>0.4285714285714286</v>
      </c>
      <c r="K281" s="7">
        <f>Parametri!$B$6*I281+Parametri!$B$7*J281</f>
      </c>
      <c r="L281">
        <f>IF(K281&gt;=Parametri!$B$3,3,IF(K281&gt;=Parametri!$B$4,2,1))</f>
      </c>
      <c r="M281" t="s">
        <v>28</v>
      </c>
      <c r="N281" t="s">
        <v>29</v>
      </c>
    </row>
    <row r="282" spans="1:14" x14ac:dyDescent="0.25">
      <c r="A282" s="5" t="s">
        <v>23</v>
      </c>
      <c r="B282" s="5" t="s">
        <v>564</v>
      </c>
      <c r="C282" s="5" t="s">
        <v>75</v>
      </c>
      <c r="D282" s="5" t="s">
        <v>627</v>
      </c>
      <c r="E282" s="5" t="s">
        <v>628</v>
      </c>
      <c r="F282" s="5">
        <v>4</v>
      </c>
      <c r="G282" s="5">
        <v>2</v>
      </c>
      <c r="H282" s="5">
        <v>6</v>
      </c>
      <c r="I282" s="6">
        <v>0.2</v>
      </c>
      <c r="J282" s="6">
        <v>0.7142857142857143</v>
      </c>
      <c r="K282" s="6">
        <f>Parametri!$B$6*I282+Parametri!$B$7*J282</f>
      </c>
      <c r="L282" s="5">
        <f>IF(K282&gt;=Parametri!$B$3,3,IF(K282&gt;=Parametri!$B$4,2,1))</f>
      </c>
      <c r="M282" s="5" t="s">
        <v>28</v>
      </c>
      <c r="N282" s="5" t="s">
        <v>29</v>
      </c>
    </row>
    <row r="283" spans="1:14" x14ac:dyDescent="0.25">
      <c r="A283" t="s">
        <v>23</v>
      </c>
      <c r="B283" t="s">
        <v>564</v>
      </c>
      <c r="C283" t="s">
        <v>75</v>
      </c>
      <c r="D283" t="s">
        <v>629</v>
      </c>
      <c r="E283" t="s">
        <v>630</v>
      </c>
      <c r="F283">
        <v>17</v>
      </c>
      <c r="G283">
        <v>1</v>
      </c>
      <c r="H283">
        <v>18</v>
      </c>
      <c r="I283" s="7">
        <v>0.9714285714285714</v>
      </c>
      <c r="J283" s="7">
        <v>0.8571428571428572</v>
      </c>
      <c r="K283" s="7">
        <f>Parametri!$B$6*I283+Parametri!$B$7*J283</f>
      </c>
      <c r="L283">
        <f>IF(K283&gt;=Parametri!$B$3,3,IF(K283&gt;=Parametri!$B$4,2,1))</f>
      </c>
      <c r="M283" t="s">
        <v>28</v>
      </c>
      <c r="N283" t="s">
        <v>29</v>
      </c>
    </row>
    <row r="284" spans="1:14" x14ac:dyDescent="0.25">
      <c r="A284" s="5" t="s">
        <v>23</v>
      </c>
      <c r="B284" s="5" t="s">
        <v>564</v>
      </c>
      <c r="C284" s="5" t="s">
        <v>75</v>
      </c>
      <c r="D284" s="5" t="s">
        <v>631</v>
      </c>
      <c r="E284" s="5" t="s">
        <v>632</v>
      </c>
      <c r="F284" s="5">
        <v>21</v>
      </c>
      <c r="G284" s="5">
        <v>0</v>
      </c>
      <c r="H284" s="5">
        <v>21</v>
      </c>
      <c r="I284" s="6">
        <v>1</v>
      </c>
      <c r="J284" s="6">
        <v>0.9714285714285714</v>
      </c>
      <c r="K284" s="6">
        <f>Parametri!$B$6*I284+Parametri!$B$7*J284</f>
      </c>
      <c r="L284" s="5">
        <f>IF(K284&gt;=Parametri!$B$3,3,IF(K284&gt;=Parametri!$B$4,2,1))</f>
      </c>
      <c r="M284" s="5" t="s">
        <v>28</v>
      </c>
      <c r="N284" s="5" t="s">
        <v>29</v>
      </c>
    </row>
    <row r="285" spans="1:14" x14ac:dyDescent="0.25">
      <c r="A285" t="s">
        <v>23</v>
      </c>
      <c r="B285" t="s">
        <v>564</v>
      </c>
      <c r="C285" t="s">
        <v>75</v>
      </c>
      <c r="D285" t="s">
        <v>633</v>
      </c>
      <c r="E285" t="s">
        <v>634</v>
      </c>
      <c r="F285">
        <v>5</v>
      </c>
      <c r="G285">
        <v>5</v>
      </c>
      <c r="H285">
        <v>10</v>
      </c>
      <c r="I285" s="7">
        <v>0.45714285714285713</v>
      </c>
      <c r="J285" s="7">
        <v>0.1428571428571429</v>
      </c>
      <c r="K285" s="7">
        <f>Parametri!$B$6*I285+Parametri!$B$7*J285</f>
      </c>
      <c r="L285">
        <f>IF(K285&gt;=Parametri!$B$3,3,IF(K285&gt;=Parametri!$B$4,2,1))</f>
      </c>
      <c r="M285" t="s">
        <v>28</v>
      </c>
      <c r="N285" t="s">
        <v>29</v>
      </c>
    </row>
    <row r="286" spans="1:14" x14ac:dyDescent="0.25">
      <c r="A286" s="5" t="s">
        <v>23</v>
      </c>
      <c r="B286" s="5" t="s">
        <v>564</v>
      </c>
      <c r="C286" s="5" t="s">
        <v>75</v>
      </c>
      <c r="D286" s="5" t="s">
        <v>635</v>
      </c>
      <c r="E286" s="5" t="s">
        <v>636</v>
      </c>
      <c r="F286" s="5">
        <v>10</v>
      </c>
      <c r="G286" s="5">
        <v>5</v>
      </c>
      <c r="H286" s="5">
        <v>15</v>
      </c>
      <c r="I286" s="6">
        <v>0.8857142857142857</v>
      </c>
      <c r="J286" s="6">
        <v>0.1428571428571429</v>
      </c>
      <c r="K286" s="6">
        <f>Parametri!$B$6*I286+Parametri!$B$7*J286</f>
      </c>
      <c r="L286" s="5">
        <f>IF(K286&gt;=Parametri!$B$3,3,IF(K286&gt;=Parametri!$B$4,2,1))</f>
      </c>
      <c r="M286" s="5" t="s">
        <v>28</v>
      </c>
      <c r="N286" s="5" t="s">
        <v>29</v>
      </c>
    </row>
    <row r="287" spans="1:14" x14ac:dyDescent="0.25">
      <c r="A287" t="s">
        <v>23</v>
      </c>
      <c r="B287" t="s">
        <v>637</v>
      </c>
      <c r="C287" t="s">
        <v>25</v>
      </c>
      <c r="D287" t="s">
        <v>638</v>
      </c>
      <c r="E287" t="s">
        <v>102</v>
      </c>
      <c r="F287">
        <v>4</v>
      </c>
      <c r="G287">
        <v>1</v>
      </c>
      <c r="H287">
        <v>5</v>
      </c>
      <c r="I287" s="7">
        <v>1</v>
      </c>
      <c r="J287" s="7">
        <v>1</v>
      </c>
      <c r="K287" s="7">
        <f>Parametri!$B$6*I287+Parametri!$B$7*J287</f>
      </c>
      <c r="L287">
        <f>IF(K287&gt;=Parametri!$B$3,3,IF(K287&gt;=Parametri!$B$4,2,1))</f>
      </c>
      <c r="M287" t="s">
        <v>28</v>
      </c>
      <c r="N287" t="s">
        <v>29</v>
      </c>
    </row>
    <row r="288" spans="1:14" x14ac:dyDescent="0.25">
      <c r="A288" s="5" t="s">
        <v>23</v>
      </c>
      <c r="B288" s="5" t="s">
        <v>637</v>
      </c>
      <c r="C288" s="5" t="s">
        <v>25</v>
      </c>
      <c r="D288" s="5" t="s">
        <v>639</v>
      </c>
      <c r="E288" s="5" t="s">
        <v>640</v>
      </c>
      <c r="F288" s="5">
        <v>4</v>
      </c>
      <c r="G288" s="5">
        <v>2</v>
      </c>
      <c r="H288" s="5">
        <v>6</v>
      </c>
      <c r="I288" s="6">
        <v>1</v>
      </c>
      <c r="J288" s="6">
        <v>0</v>
      </c>
      <c r="K288" s="6">
        <f>Parametri!$B$6*I288+Parametri!$B$7*J288</f>
      </c>
      <c r="L288" s="5">
        <f>IF(K288&gt;=Parametri!$B$3,3,IF(K288&gt;=Parametri!$B$4,2,1))</f>
      </c>
      <c r="M288" s="5" t="s">
        <v>28</v>
      </c>
      <c r="N288" s="5" t="s">
        <v>29</v>
      </c>
    </row>
    <row r="289" spans="1:14" x14ac:dyDescent="0.25">
      <c r="A289" t="s">
        <v>641</v>
      </c>
      <c r="B289" t="s">
        <v>642</v>
      </c>
      <c r="C289" t="s">
        <v>25</v>
      </c>
      <c r="D289" t="s">
        <v>643</v>
      </c>
      <c r="E289" t="s">
        <v>644</v>
      </c>
      <c r="F289">
        <v>6</v>
      </c>
      <c r="G289">
        <v>2</v>
      </c>
      <c r="H289">
        <v>8</v>
      </c>
      <c r="I289" s="7">
        <v>1</v>
      </c>
      <c r="J289" s="7">
        <v>0</v>
      </c>
      <c r="K289" s="7">
        <f>Parametri!$B$6*I289+Parametri!$B$7*J289</f>
      </c>
      <c r="L289">
        <f>IF(K289&gt;=Parametri!$B$3,3,IF(K289&gt;=Parametri!$B$4,2,1))</f>
      </c>
      <c r="M289" t="s">
        <v>28</v>
      </c>
      <c r="N289" t="s">
        <v>29</v>
      </c>
    </row>
    <row r="290" spans="1:14" x14ac:dyDescent="0.25">
      <c r="A290" s="5" t="s">
        <v>641</v>
      </c>
      <c r="B290" s="5" t="s">
        <v>642</v>
      </c>
      <c r="C290" s="5" t="s">
        <v>25</v>
      </c>
      <c r="D290" s="5" t="s">
        <v>645</v>
      </c>
      <c r="E290" s="5" t="s">
        <v>646</v>
      </c>
      <c r="F290" s="5">
        <v>6</v>
      </c>
      <c r="G290" s="5">
        <v>2</v>
      </c>
      <c r="H290" s="5">
        <v>8</v>
      </c>
      <c r="I290" s="6">
        <v>1</v>
      </c>
      <c r="J290" s="6">
        <v>0</v>
      </c>
      <c r="K290" s="6">
        <f>Parametri!$B$6*I290+Parametri!$B$7*J290</f>
      </c>
      <c r="L290" s="5">
        <f>IF(K290&gt;=Parametri!$B$3,3,IF(K290&gt;=Parametri!$B$4,2,1))</f>
      </c>
      <c r="M290" s="5" t="s">
        <v>28</v>
      </c>
      <c r="N290" s="5" t="s">
        <v>29</v>
      </c>
    </row>
    <row r="291" spans="1:14" x14ac:dyDescent="0.25">
      <c r="A291" t="s">
        <v>641</v>
      </c>
      <c r="B291" t="s">
        <v>647</v>
      </c>
      <c r="C291" t="s">
        <v>25</v>
      </c>
      <c r="D291" t="s">
        <v>648</v>
      </c>
      <c r="E291" t="s">
        <v>649</v>
      </c>
      <c r="F291">
        <v>6</v>
      </c>
      <c r="G291">
        <v>2</v>
      </c>
      <c r="H291">
        <v>8</v>
      </c>
      <c r="I291" s="7">
        <v>0</v>
      </c>
      <c r="J291" s="7">
        <v>1</v>
      </c>
      <c r="K291" s="7">
        <f>Parametri!$B$6*I291+Parametri!$B$7*J291</f>
      </c>
      <c r="L291">
        <f>IF(K291&gt;=Parametri!$B$3,3,IF(K291&gt;=Parametri!$B$4,2,1))</f>
      </c>
      <c r="M291" t="s">
        <v>28</v>
      </c>
      <c r="N291" t="s">
        <v>29</v>
      </c>
    </row>
    <row r="292" spans="1:14" x14ac:dyDescent="0.25">
      <c r="A292" s="5" t="s">
        <v>641</v>
      </c>
      <c r="B292" s="5" t="s">
        <v>647</v>
      </c>
      <c r="C292" s="5" t="s">
        <v>25</v>
      </c>
      <c r="D292" s="5" t="s">
        <v>650</v>
      </c>
      <c r="E292" s="5" t="s">
        <v>651</v>
      </c>
      <c r="F292" s="5">
        <v>7</v>
      </c>
      <c r="G292" s="5">
        <v>4</v>
      </c>
      <c r="H292" s="5">
        <v>11</v>
      </c>
      <c r="I292" s="6">
        <v>1</v>
      </c>
      <c r="J292" s="6">
        <v>0</v>
      </c>
      <c r="K292" s="6">
        <f>Parametri!$B$6*I292+Parametri!$B$7*J292</f>
      </c>
      <c r="L292" s="5">
        <f>IF(K292&gt;=Parametri!$B$3,3,IF(K292&gt;=Parametri!$B$4,2,1))</f>
      </c>
      <c r="M292" s="5" t="s">
        <v>28</v>
      </c>
      <c r="N292" s="5" t="s">
        <v>29</v>
      </c>
    </row>
    <row r="293" spans="1:14" x14ac:dyDescent="0.25">
      <c r="A293" t="s">
        <v>641</v>
      </c>
      <c r="B293" t="s">
        <v>652</v>
      </c>
      <c r="C293" t="s">
        <v>25</v>
      </c>
      <c r="D293" t="s">
        <v>653</v>
      </c>
      <c r="E293" t="s">
        <v>654</v>
      </c>
      <c r="F293">
        <v>6</v>
      </c>
      <c r="G293">
        <v>3</v>
      </c>
      <c r="H293">
        <v>9</v>
      </c>
      <c r="I293" s="7">
        <v>0</v>
      </c>
      <c r="J293" s="7">
        <v>0</v>
      </c>
      <c r="K293" s="7">
        <f>Parametri!$B$6*I293+Parametri!$B$7*J293</f>
      </c>
      <c r="L293">
        <f>IF(K293&gt;=Parametri!$B$3,3,IF(K293&gt;=Parametri!$B$4,2,1))</f>
      </c>
      <c r="M293" t="s">
        <v>28</v>
      </c>
      <c r="N293" t="s">
        <v>29</v>
      </c>
    </row>
    <row r="294" spans="1:14" x14ac:dyDescent="0.25">
      <c r="A294" s="5" t="s">
        <v>641</v>
      </c>
      <c r="B294" s="5" t="s">
        <v>652</v>
      </c>
      <c r="C294" s="5" t="s">
        <v>25</v>
      </c>
      <c r="D294" s="5" t="s">
        <v>655</v>
      </c>
      <c r="E294" s="5" t="s">
        <v>656</v>
      </c>
      <c r="F294" s="5">
        <v>7</v>
      </c>
      <c r="G294" s="5">
        <v>2</v>
      </c>
      <c r="H294" s="5">
        <v>9</v>
      </c>
      <c r="I294" s="6">
        <v>1</v>
      </c>
      <c r="J294" s="6">
        <v>1</v>
      </c>
      <c r="K294" s="6">
        <f>Parametri!$B$6*I294+Parametri!$B$7*J294</f>
      </c>
      <c r="L294" s="5">
        <f>IF(K294&gt;=Parametri!$B$3,3,IF(K294&gt;=Parametri!$B$4,2,1))</f>
      </c>
      <c r="M294" s="5" t="s">
        <v>28</v>
      </c>
      <c r="N294" s="5" t="s">
        <v>29</v>
      </c>
    </row>
    <row r="295" spans="1:14" x14ac:dyDescent="0.25">
      <c r="A295" t="s">
        <v>641</v>
      </c>
      <c r="B295" t="s">
        <v>657</v>
      </c>
      <c r="C295" t="s">
        <v>25</v>
      </c>
      <c r="D295" t="s">
        <v>658</v>
      </c>
      <c r="E295" t="s">
        <v>333</v>
      </c>
      <c r="F295">
        <v>5</v>
      </c>
      <c r="G295">
        <v>4</v>
      </c>
      <c r="H295">
        <v>9</v>
      </c>
      <c r="I295" s="7">
        <v>0</v>
      </c>
      <c r="J295" s="7">
        <v>0</v>
      </c>
      <c r="K295" s="7">
        <f>Parametri!$B$6*I295+Parametri!$B$7*J295</f>
      </c>
      <c r="L295">
        <f>IF(K295&gt;=Parametri!$B$3,3,IF(K295&gt;=Parametri!$B$4,2,1))</f>
      </c>
      <c r="M295" t="s">
        <v>28</v>
      </c>
      <c r="N295" t="s">
        <v>29</v>
      </c>
    </row>
    <row r="296" spans="1:14" x14ac:dyDescent="0.25">
      <c r="A296" s="5" t="s">
        <v>641</v>
      </c>
      <c r="B296" s="5" t="s">
        <v>657</v>
      </c>
      <c r="C296" s="5" t="s">
        <v>25</v>
      </c>
      <c r="D296" s="5" t="s">
        <v>659</v>
      </c>
      <c r="E296" s="5" t="s">
        <v>660</v>
      </c>
      <c r="F296" s="5">
        <v>6</v>
      </c>
      <c r="G296" s="5">
        <v>2</v>
      </c>
      <c r="H296" s="5">
        <v>8</v>
      </c>
      <c r="I296" s="6">
        <v>1</v>
      </c>
      <c r="J296" s="6">
        <v>1</v>
      </c>
      <c r="K296" s="6">
        <f>Parametri!$B$6*I296+Parametri!$B$7*J296</f>
      </c>
      <c r="L296" s="5">
        <f>IF(K296&gt;=Parametri!$B$3,3,IF(K296&gt;=Parametri!$B$4,2,1))</f>
      </c>
      <c r="M296" s="5" t="s">
        <v>28</v>
      </c>
      <c r="N296" s="5" t="s">
        <v>29</v>
      </c>
    </row>
    <row r="297" spans="1:14" x14ac:dyDescent="0.25">
      <c r="A297" t="s">
        <v>641</v>
      </c>
      <c r="B297" t="s">
        <v>661</v>
      </c>
      <c r="C297" t="s">
        <v>25</v>
      </c>
      <c r="D297" t="s">
        <v>662</v>
      </c>
      <c r="E297" t="s">
        <v>663</v>
      </c>
      <c r="F297">
        <v>8</v>
      </c>
      <c r="G297">
        <v>2</v>
      </c>
      <c r="H297">
        <v>10</v>
      </c>
      <c r="I297" s="7">
        <v>1</v>
      </c>
      <c r="J297" s="7">
        <v>0</v>
      </c>
      <c r="K297" s="7">
        <f>Parametri!$B$6*I297+Parametri!$B$7*J297</f>
      </c>
      <c r="L297">
        <f>IF(K297&gt;=Parametri!$B$3,3,IF(K297&gt;=Parametri!$B$4,2,1))</f>
      </c>
      <c r="M297" t="s">
        <v>28</v>
      </c>
      <c r="N297" t="s">
        <v>29</v>
      </c>
    </row>
    <row r="298" spans="1:14" x14ac:dyDescent="0.25">
      <c r="A298" s="5" t="s">
        <v>641</v>
      </c>
      <c r="B298" s="5" t="s">
        <v>661</v>
      </c>
      <c r="C298" s="5" t="s">
        <v>25</v>
      </c>
      <c r="D298" s="5" t="s">
        <v>664</v>
      </c>
      <c r="E298" s="5" t="s">
        <v>665</v>
      </c>
      <c r="F298" s="5">
        <v>8</v>
      </c>
      <c r="G298" s="5">
        <v>1</v>
      </c>
      <c r="H298" s="5">
        <v>9</v>
      </c>
      <c r="I298" s="6">
        <v>1</v>
      </c>
      <c r="J298" s="6">
        <v>1</v>
      </c>
      <c r="K298" s="6">
        <f>Parametri!$B$6*I298+Parametri!$B$7*J298</f>
      </c>
      <c r="L298" s="5">
        <f>IF(K298&gt;=Parametri!$B$3,3,IF(K298&gt;=Parametri!$B$4,2,1))</f>
      </c>
      <c r="M298" s="5" t="s">
        <v>28</v>
      </c>
      <c r="N298" s="5" t="s">
        <v>29</v>
      </c>
    </row>
    <row r="299" spans="1:14" x14ac:dyDescent="0.25">
      <c r="A299" t="s">
        <v>641</v>
      </c>
      <c r="B299" t="s">
        <v>666</v>
      </c>
      <c r="C299" t="s">
        <v>25</v>
      </c>
      <c r="D299" t="s">
        <v>667</v>
      </c>
      <c r="E299" t="s">
        <v>668</v>
      </c>
      <c r="F299">
        <v>4</v>
      </c>
      <c r="G299">
        <v>5</v>
      </c>
      <c r="H299">
        <v>9</v>
      </c>
      <c r="I299" s="7">
        <v>0</v>
      </c>
      <c r="J299" s="7">
        <v>0</v>
      </c>
      <c r="K299" s="7">
        <f>Parametri!$B$6*I299+Parametri!$B$7*J299</f>
      </c>
      <c r="L299">
        <f>IF(K299&gt;=Parametri!$B$3,3,IF(K299&gt;=Parametri!$B$4,2,1))</f>
      </c>
      <c r="M299" t="s">
        <v>28</v>
      </c>
      <c r="N299" t="s">
        <v>29</v>
      </c>
    </row>
    <row r="300" spans="1:14" x14ac:dyDescent="0.25">
      <c r="A300" s="5" t="s">
        <v>641</v>
      </c>
      <c r="B300" s="5" t="s">
        <v>666</v>
      </c>
      <c r="C300" s="5" t="s">
        <v>25</v>
      </c>
      <c r="D300" s="5" t="s">
        <v>669</v>
      </c>
      <c r="E300" s="5" t="s">
        <v>670</v>
      </c>
      <c r="F300" s="5">
        <v>7</v>
      </c>
      <c r="G300" s="5">
        <v>4</v>
      </c>
      <c r="H300" s="5">
        <v>11</v>
      </c>
      <c r="I300" s="6">
        <v>1</v>
      </c>
      <c r="J300" s="6">
        <v>1</v>
      </c>
      <c r="K300" s="6">
        <f>Parametri!$B$6*I300+Parametri!$B$7*J300</f>
      </c>
      <c r="L300" s="5">
        <f>IF(K300&gt;=Parametri!$B$3,3,IF(K300&gt;=Parametri!$B$4,2,1))</f>
      </c>
      <c r="M300" s="5" t="s">
        <v>28</v>
      </c>
      <c r="N300" s="5" t="s">
        <v>29</v>
      </c>
    </row>
    <row r="301" spans="1:14" x14ac:dyDescent="0.25">
      <c r="A301" t="s">
        <v>641</v>
      </c>
      <c r="B301" t="s">
        <v>671</v>
      </c>
      <c r="C301" t="s">
        <v>25</v>
      </c>
      <c r="D301" t="s">
        <v>672</v>
      </c>
      <c r="E301" t="s">
        <v>673</v>
      </c>
      <c r="F301">
        <v>11</v>
      </c>
      <c r="G301">
        <v>2</v>
      </c>
      <c r="H301">
        <v>13</v>
      </c>
      <c r="I301" s="7">
        <v>0</v>
      </c>
      <c r="J301" s="7">
        <v>0</v>
      </c>
      <c r="K301" s="7">
        <f>Parametri!$B$6*I301+Parametri!$B$7*J301</f>
      </c>
      <c r="L301">
        <f>IF(K301&gt;=Parametri!$B$3,3,IF(K301&gt;=Parametri!$B$4,2,1))</f>
      </c>
      <c r="M301" t="s">
        <v>28</v>
      </c>
      <c r="N301" t="s">
        <v>29</v>
      </c>
    </row>
    <row r="302" spans="1:14" x14ac:dyDescent="0.25">
      <c r="A302" s="5" t="s">
        <v>641</v>
      </c>
      <c r="B302" s="5" t="s">
        <v>671</v>
      </c>
      <c r="C302" s="5" t="s">
        <v>25</v>
      </c>
      <c r="D302" s="5" t="s">
        <v>674</v>
      </c>
      <c r="E302" s="5" t="s">
        <v>675</v>
      </c>
      <c r="F302" s="5">
        <v>13</v>
      </c>
      <c r="G302" s="5">
        <v>0</v>
      </c>
      <c r="H302" s="5">
        <v>13</v>
      </c>
      <c r="I302" s="6">
        <v>1</v>
      </c>
      <c r="J302" s="6">
        <v>1</v>
      </c>
      <c r="K302" s="6">
        <f>Parametri!$B$6*I302+Parametri!$B$7*J302</f>
      </c>
      <c r="L302" s="5">
        <f>IF(K302&gt;=Parametri!$B$3,3,IF(K302&gt;=Parametri!$B$4,2,1))</f>
      </c>
      <c r="M302" s="5" t="s">
        <v>28</v>
      </c>
      <c r="N302" s="5" t="s">
        <v>29</v>
      </c>
    </row>
    <row r="303" spans="1:14" x14ac:dyDescent="0.25">
      <c r="A303" t="s">
        <v>641</v>
      </c>
      <c r="B303" t="s">
        <v>676</v>
      </c>
      <c r="C303" t="s">
        <v>25</v>
      </c>
      <c r="D303" t="s">
        <v>677</v>
      </c>
      <c r="E303" t="s">
        <v>678</v>
      </c>
      <c r="F303">
        <v>5</v>
      </c>
      <c r="G303">
        <v>2</v>
      </c>
      <c r="H303">
        <v>7</v>
      </c>
      <c r="I303" s="7">
        <v>0</v>
      </c>
      <c r="J303" s="7">
        <v>1</v>
      </c>
      <c r="K303" s="7">
        <f>Parametri!$B$6*I303+Parametri!$B$7*J303</f>
      </c>
      <c r="L303">
        <f>IF(K303&gt;=Parametri!$B$3,3,IF(K303&gt;=Parametri!$B$4,2,1))</f>
      </c>
      <c r="M303" t="s">
        <v>28</v>
      </c>
      <c r="N303" t="s">
        <v>29</v>
      </c>
    </row>
    <row r="304" spans="1:14" x14ac:dyDescent="0.25">
      <c r="A304" s="5" t="s">
        <v>641</v>
      </c>
      <c r="B304" s="5" t="s">
        <v>676</v>
      </c>
      <c r="C304" s="5" t="s">
        <v>25</v>
      </c>
      <c r="D304" s="5" t="s">
        <v>679</v>
      </c>
      <c r="E304" s="5" t="s">
        <v>680</v>
      </c>
      <c r="F304" s="5">
        <v>6</v>
      </c>
      <c r="G304" s="5">
        <v>3</v>
      </c>
      <c r="H304" s="5">
        <v>9</v>
      </c>
      <c r="I304" s="6">
        <v>1</v>
      </c>
      <c r="J304" s="6">
        <v>0</v>
      </c>
      <c r="K304" s="6">
        <f>Parametri!$B$6*I304+Parametri!$B$7*J304</f>
      </c>
      <c r="L304" s="5">
        <f>IF(K304&gt;=Parametri!$B$3,3,IF(K304&gt;=Parametri!$B$4,2,1))</f>
      </c>
      <c r="M304" s="5" t="s">
        <v>28</v>
      </c>
      <c r="N304" s="5" t="s">
        <v>29</v>
      </c>
    </row>
    <row r="305" spans="1:14" x14ac:dyDescent="0.25">
      <c r="A305" t="s">
        <v>641</v>
      </c>
      <c r="B305" t="s">
        <v>681</v>
      </c>
      <c r="C305" t="s">
        <v>25</v>
      </c>
      <c r="D305" t="s">
        <v>682</v>
      </c>
      <c r="E305" t="s">
        <v>683</v>
      </c>
      <c r="F305">
        <v>6</v>
      </c>
      <c r="G305">
        <v>4</v>
      </c>
      <c r="H305">
        <v>10</v>
      </c>
      <c r="I305" s="7">
        <v>1</v>
      </c>
      <c r="J305" s="7">
        <v>0</v>
      </c>
      <c r="K305" s="7">
        <f>Parametri!$B$6*I305+Parametri!$B$7*J305</f>
      </c>
      <c r="L305">
        <f>IF(K305&gt;=Parametri!$B$3,3,IF(K305&gt;=Parametri!$B$4,2,1))</f>
      </c>
      <c r="M305" t="s">
        <v>28</v>
      </c>
      <c r="N305" t="s">
        <v>29</v>
      </c>
    </row>
    <row r="306" spans="1:14" x14ac:dyDescent="0.25">
      <c r="A306" s="5" t="s">
        <v>641</v>
      </c>
      <c r="B306" s="5" t="s">
        <v>681</v>
      </c>
      <c r="C306" s="5" t="s">
        <v>25</v>
      </c>
      <c r="D306" s="5" t="s">
        <v>684</v>
      </c>
      <c r="E306" s="5" t="s">
        <v>685</v>
      </c>
      <c r="F306" s="5">
        <v>6</v>
      </c>
      <c r="G306" s="5">
        <v>3</v>
      </c>
      <c r="H306" s="5">
        <v>9</v>
      </c>
      <c r="I306" s="6">
        <v>1</v>
      </c>
      <c r="J306" s="6">
        <v>1</v>
      </c>
      <c r="K306" s="6">
        <f>Parametri!$B$6*I306+Parametri!$B$7*J306</f>
      </c>
      <c r="L306" s="5">
        <f>IF(K306&gt;=Parametri!$B$3,3,IF(K306&gt;=Parametri!$B$4,2,1))</f>
      </c>
      <c r="M306" s="5" t="s">
        <v>28</v>
      </c>
      <c r="N306" s="5" t="s">
        <v>29</v>
      </c>
    </row>
    <row r="307" spans="1:14" x14ac:dyDescent="0.25">
      <c r="A307" t="s">
        <v>641</v>
      </c>
      <c r="B307" t="s">
        <v>686</v>
      </c>
      <c r="C307" t="s">
        <v>75</v>
      </c>
      <c r="D307" t="s">
        <v>687</v>
      </c>
      <c r="E307" t="s">
        <v>688</v>
      </c>
      <c r="F307">
        <v>7</v>
      </c>
      <c r="G307">
        <v>2</v>
      </c>
      <c r="H307">
        <v>9</v>
      </c>
      <c r="I307" s="7">
        <v>0.7142857142857143</v>
      </c>
      <c r="J307" s="7">
        <v>0</v>
      </c>
      <c r="K307" s="7">
        <f>Parametri!$B$6*I307+Parametri!$B$7*J307</f>
      </c>
      <c r="L307">
        <f>IF(K307&gt;=Parametri!$B$3,3,IF(K307&gt;=Parametri!$B$4,2,1))</f>
      </c>
      <c r="M307" t="s">
        <v>28</v>
      </c>
      <c r="N307" t="s">
        <v>29</v>
      </c>
    </row>
    <row r="308" spans="1:14" x14ac:dyDescent="0.25">
      <c r="A308" s="5" t="s">
        <v>641</v>
      </c>
      <c r="B308" s="5" t="s">
        <v>686</v>
      </c>
      <c r="C308" s="5" t="s">
        <v>75</v>
      </c>
      <c r="D308" s="5" t="s">
        <v>689</v>
      </c>
      <c r="E308" s="5" t="s">
        <v>690</v>
      </c>
      <c r="F308" s="5">
        <v>5</v>
      </c>
      <c r="G308" s="5">
        <v>2</v>
      </c>
      <c r="H308" s="5">
        <v>7</v>
      </c>
      <c r="I308" s="6">
        <v>0.42857142857142855</v>
      </c>
      <c r="J308" s="6">
        <v>0</v>
      </c>
      <c r="K308" s="6">
        <f>Parametri!$B$6*I308+Parametri!$B$7*J308</f>
      </c>
      <c r="L308" s="5">
        <f>IF(K308&gt;=Parametri!$B$3,3,IF(K308&gt;=Parametri!$B$4,2,1))</f>
      </c>
      <c r="M308" s="5" t="s">
        <v>28</v>
      </c>
      <c r="N308" s="5" t="s">
        <v>29</v>
      </c>
    </row>
    <row r="309" spans="1:14" x14ac:dyDescent="0.25">
      <c r="A309" t="s">
        <v>641</v>
      </c>
      <c r="B309" t="s">
        <v>686</v>
      </c>
      <c r="C309" t="s">
        <v>75</v>
      </c>
      <c r="D309" t="s">
        <v>691</v>
      </c>
      <c r="E309" t="s">
        <v>692</v>
      </c>
      <c r="F309">
        <v>6</v>
      </c>
      <c r="G309">
        <v>2</v>
      </c>
      <c r="H309">
        <v>8</v>
      </c>
      <c r="I309" s="7">
        <v>0.5714285714285714</v>
      </c>
      <c r="J309" s="7">
        <v>0</v>
      </c>
      <c r="K309" s="7">
        <f>Parametri!$B$6*I309+Parametri!$B$7*J309</f>
      </c>
      <c r="L309">
        <f>IF(K309&gt;=Parametri!$B$3,3,IF(K309&gt;=Parametri!$B$4,2,1))</f>
      </c>
      <c r="M309" t="s">
        <v>28</v>
      </c>
      <c r="N309" t="s">
        <v>29</v>
      </c>
    </row>
    <row r="310" spans="1:14" x14ac:dyDescent="0.25">
      <c r="A310" s="5" t="s">
        <v>641</v>
      </c>
      <c r="B310" s="5" t="s">
        <v>686</v>
      </c>
      <c r="C310" s="5" t="s">
        <v>75</v>
      </c>
      <c r="D310" s="5" t="s">
        <v>693</v>
      </c>
      <c r="E310" s="5" t="s">
        <v>694</v>
      </c>
      <c r="F310" s="5">
        <v>5</v>
      </c>
      <c r="G310" s="5">
        <v>2</v>
      </c>
      <c r="H310" s="5">
        <v>7</v>
      </c>
      <c r="I310" s="6">
        <v>0.42857142857142855</v>
      </c>
      <c r="J310" s="6">
        <v>0</v>
      </c>
      <c r="K310" s="6">
        <f>Parametri!$B$6*I310+Parametri!$B$7*J310</f>
      </c>
      <c r="L310" s="5">
        <f>IF(K310&gt;=Parametri!$B$3,3,IF(K310&gt;=Parametri!$B$4,2,1))</f>
      </c>
      <c r="M310" s="5" t="s">
        <v>28</v>
      </c>
      <c r="N310" s="5" t="s">
        <v>29</v>
      </c>
    </row>
    <row r="311" spans="1:14" x14ac:dyDescent="0.25">
      <c r="A311" t="s">
        <v>641</v>
      </c>
      <c r="B311" t="s">
        <v>686</v>
      </c>
      <c r="C311" t="s">
        <v>75</v>
      </c>
      <c r="D311" t="s">
        <v>695</v>
      </c>
      <c r="E311" t="s">
        <v>696</v>
      </c>
      <c r="F311">
        <v>5</v>
      </c>
      <c r="G311">
        <v>2</v>
      </c>
      <c r="H311">
        <v>7</v>
      </c>
      <c r="I311" s="7">
        <v>0.42857142857142855</v>
      </c>
      <c r="J311" s="7">
        <v>0</v>
      </c>
      <c r="K311" s="7">
        <f>Parametri!$B$6*I311+Parametri!$B$7*J311</f>
      </c>
      <c r="L311">
        <f>IF(K311&gt;=Parametri!$B$3,3,IF(K311&gt;=Parametri!$B$4,2,1))</f>
      </c>
      <c r="M311" t="s">
        <v>28</v>
      </c>
      <c r="N311" t="s">
        <v>29</v>
      </c>
    </row>
    <row r="312" spans="1:14" x14ac:dyDescent="0.25">
      <c r="A312" s="5" t="s">
        <v>641</v>
      </c>
      <c r="B312" s="5" t="s">
        <v>686</v>
      </c>
      <c r="C312" s="5" t="s">
        <v>75</v>
      </c>
      <c r="D312" s="5" t="s">
        <v>697</v>
      </c>
      <c r="E312" s="5" t="s">
        <v>698</v>
      </c>
      <c r="F312" s="5">
        <v>8</v>
      </c>
      <c r="G312" s="5">
        <v>1</v>
      </c>
      <c r="H312" s="5">
        <v>9</v>
      </c>
      <c r="I312" s="6">
        <v>1</v>
      </c>
      <c r="J312" s="6">
        <v>0.8571428571428572</v>
      </c>
      <c r="K312" s="6">
        <f>Parametri!$B$6*I312+Parametri!$B$7*J312</f>
      </c>
      <c r="L312" s="5">
        <f>IF(K312&gt;=Parametri!$B$3,3,IF(K312&gt;=Parametri!$B$4,2,1))</f>
      </c>
      <c r="M312" s="5" t="s">
        <v>28</v>
      </c>
      <c r="N312" s="5" t="s">
        <v>29</v>
      </c>
    </row>
    <row r="313" spans="1:14" x14ac:dyDescent="0.25">
      <c r="A313" t="s">
        <v>641</v>
      </c>
      <c r="B313" t="s">
        <v>686</v>
      </c>
      <c r="C313" t="s">
        <v>75</v>
      </c>
      <c r="D313" t="s">
        <v>699</v>
      </c>
      <c r="E313" t="s">
        <v>700</v>
      </c>
      <c r="F313">
        <v>8</v>
      </c>
      <c r="G313">
        <v>2</v>
      </c>
      <c r="H313">
        <v>10</v>
      </c>
      <c r="I313" s="7">
        <v>1</v>
      </c>
      <c r="J313" s="7">
        <v>0</v>
      </c>
      <c r="K313" s="7">
        <f>Parametri!$B$6*I313+Parametri!$B$7*J313</f>
      </c>
      <c r="L313">
        <f>IF(K313&gt;=Parametri!$B$3,3,IF(K313&gt;=Parametri!$B$4,2,1))</f>
      </c>
      <c r="M313" t="s">
        <v>28</v>
      </c>
      <c r="N313" t="s">
        <v>29</v>
      </c>
    </row>
    <row r="314" spans="1:14" x14ac:dyDescent="0.25">
      <c r="A314" s="5" t="s">
        <v>641</v>
      </c>
      <c r="B314" s="5" t="s">
        <v>686</v>
      </c>
      <c r="C314" s="5" t="s">
        <v>75</v>
      </c>
      <c r="D314" s="5" t="s">
        <v>701</v>
      </c>
      <c r="E314" s="5" t="s">
        <v>702</v>
      </c>
      <c r="F314" s="5">
        <v>5</v>
      </c>
      <c r="G314" s="5">
        <v>1</v>
      </c>
      <c r="H314" s="5">
        <v>6</v>
      </c>
      <c r="I314" s="6">
        <v>0.42857142857142855</v>
      </c>
      <c r="J314" s="6">
        <v>0.8571428571428572</v>
      </c>
      <c r="K314" s="6">
        <f>Parametri!$B$6*I314+Parametri!$B$7*J314</f>
      </c>
      <c r="L314" s="5">
        <f>IF(K314&gt;=Parametri!$B$3,3,IF(K314&gt;=Parametri!$B$4,2,1))</f>
      </c>
      <c r="M314" s="5" t="s">
        <v>28</v>
      </c>
      <c r="N314" s="5" t="s">
        <v>29</v>
      </c>
    </row>
    <row r="315" spans="1:14" x14ac:dyDescent="0.25">
      <c r="A315" t="s">
        <v>641</v>
      </c>
      <c r="B315" t="s">
        <v>703</v>
      </c>
      <c r="C315" t="s">
        <v>25</v>
      </c>
      <c r="D315" t="s">
        <v>704</v>
      </c>
      <c r="E315" t="s">
        <v>705</v>
      </c>
      <c r="F315">
        <v>7</v>
      </c>
      <c r="G315">
        <v>2</v>
      </c>
      <c r="H315">
        <v>9</v>
      </c>
      <c r="I315" s="7">
        <v>0</v>
      </c>
      <c r="J315" s="7">
        <v>0</v>
      </c>
      <c r="K315" s="7">
        <f>Parametri!$B$6*I315+Parametri!$B$7*J315</f>
      </c>
      <c r="L315">
        <f>IF(K315&gt;=Parametri!$B$3,3,IF(K315&gt;=Parametri!$B$4,2,1))</f>
      </c>
      <c r="M315" t="s">
        <v>28</v>
      </c>
      <c r="N315" t="s">
        <v>29</v>
      </c>
    </row>
    <row r="316" spans="1:14" x14ac:dyDescent="0.25">
      <c r="A316" s="5" t="s">
        <v>641</v>
      </c>
      <c r="B316" s="5" t="s">
        <v>703</v>
      </c>
      <c r="C316" s="5" t="s">
        <v>25</v>
      </c>
      <c r="D316" s="5" t="s">
        <v>706</v>
      </c>
      <c r="E316" s="5" t="s">
        <v>707</v>
      </c>
      <c r="F316" s="5">
        <v>8</v>
      </c>
      <c r="G316" s="5">
        <v>2</v>
      </c>
      <c r="H316" s="5">
        <v>10</v>
      </c>
      <c r="I316" s="6">
        <v>1</v>
      </c>
      <c r="J316" s="6">
        <v>0</v>
      </c>
      <c r="K316" s="6">
        <f>Parametri!$B$6*I316+Parametri!$B$7*J316</f>
      </c>
      <c r="L316" s="5">
        <f>IF(K316&gt;=Parametri!$B$3,3,IF(K316&gt;=Parametri!$B$4,2,1))</f>
      </c>
      <c r="M316" s="5" t="s">
        <v>28</v>
      </c>
      <c r="N316" s="5" t="s">
        <v>29</v>
      </c>
    </row>
    <row r="317" spans="1:14" x14ac:dyDescent="0.25">
      <c r="A317" t="s">
        <v>641</v>
      </c>
      <c r="B317" t="s">
        <v>708</v>
      </c>
      <c r="C317" t="s">
        <v>25</v>
      </c>
      <c r="D317" t="s">
        <v>709</v>
      </c>
      <c r="E317" t="s">
        <v>710</v>
      </c>
      <c r="F317">
        <v>6</v>
      </c>
      <c r="G317">
        <v>3</v>
      </c>
      <c r="H317">
        <v>9</v>
      </c>
      <c r="I317" s="7">
        <v>1</v>
      </c>
      <c r="J317" s="7">
        <v>1</v>
      </c>
      <c r="K317" s="7">
        <f>Parametri!$B$6*I317+Parametri!$B$7*J317</f>
      </c>
      <c r="L317">
        <f>IF(K317&gt;=Parametri!$B$3,3,IF(K317&gt;=Parametri!$B$4,2,1))</f>
      </c>
      <c r="M317" t="s">
        <v>28</v>
      </c>
      <c r="N317" t="s">
        <v>29</v>
      </c>
    </row>
    <row r="318" spans="1:14" x14ac:dyDescent="0.25">
      <c r="A318" s="5" t="s">
        <v>641</v>
      </c>
      <c r="B318" s="5" t="s">
        <v>708</v>
      </c>
      <c r="C318" s="5" t="s">
        <v>25</v>
      </c>
      <c r="D318" s="5" t="s">
        <v>711</v>
      </c>
      <c r="E318" s="5" t="s">
        <v>712</v>
      </c>
      <c r="F318" s="5">
        <v>6</v>
      </c>
      <c r="G318" s="5">
        <v>5</v>
      </c>
      <c r="H318" s="5">
        <v>11</v>
      </c>
      <c r="I318" s="6">
        <v>1</v>
      </c>
      <c r="J318" s="6">
        <v>0</v>
      </c>
      <c r="K318" s="6">
        <f>Parametri!$B$6*I318+Parametri!$B$7*J318</f>
      </c>
      <c r="L318" s="5">
        <f>IF(K318&gt;=Parametri!$B$3,3,IF(K318&gt;=Parametri!$B$4,2,1))</f>
      </c>
      <c r="M318" s="5" t="s">
        <v>28</v>
      </c>
      <c r="N318" s="5" t="s">
        <v>29</v>
      </c>
    </row>
    <row r="319" spans="1:14" x14ac:dyDescent="0.25">
      <c r="A319" t="s">
        <v>641</v>
      </c>
      <c r="B319" t="s">
        <v>713</v>
      </c>
      <c r="C319" t="s">
        <v>25</v>
      </c>
      <c r="D319" t="s">
        <v>714</v>
      </c>
      <c r="E319" t="s">
        <v>715</v>
      </c>
      <c r="F319">
        <v>6</v>
      </c>
      <c r="G319">
        <v>5</v>
      </c>
      <c r="H319">
        <v>11</v>
      </c>
      <c r="I319" s="7">
        <v>1</v>
      </c>
      <c r="J319" s="7">
        <v>0</v>
      </c>
      <c r="K319" s="7">
        <f>Parametri!$B$6*I319+Parametri!$B$7*J319</f>
      </c>
      <c r="L319">
        <f>IF(K319&gt;=Parametri!$B$3,3,IF(K319&gt;=Parametri!$B$4,2,1))</f>
      </c>
      <c r="M319" t="s">
        <v>28</v>
      </c>
      <c r="N319" t="s">
        <v>29</v>
      </c>
    </row>
    <row r="320" spans="1:14" x14ac:dyDescent="0.25">
      <c r="A320" s="5" t="s">
        <v>641</v>
      </c>
      <c r="B320" s="5" t="s">
        <v>713</v>
      </c>
      <c r="C320" s="5" t="s">
        <v>25</v>
      </c>
      <c r="D320" s="5" t="s">
        <v>716</v>
      </c>
      <c r="E320" s="5" t="s">
        <v>717</v>
      </c>
      <c r="F320" s="5">
        <v>4</v>
      </c>
      <c r="G320" s="5">
        <v>3</v>
      </c>
      <c r="H320" s="5">
        <v>7</v>
      </c>
      <c r="I320" s="6">
        <v>0</v>
      </c>
      <c r="J320" s="6">
        <v>1</v>
      </c>
      <c r="K320" s="6">
        <f>Parametri!$B$6*I320+Parametri!$B$7*J320</f>
      </c>
      <c r="L320" s="5">
        <f>IF(K320&gt;=Parametri!$B$3,3,IF(K320&gt;=Parametri!$B$4,2,1))</f>
      </c>
      <c r="M320" s="5" t="s">
        <v>28</v>
      </c>
      <c r="N320" s="5" t="s">
        <v>29</v>
      </c>
    </row>
    <row r="321" spans="1:14" x14ac:dyDescent="0.25">
      <c r="A321" t="s">
        <v>641</v>
      </c>
      <c r="B321" t="s">
        <v>718</v>
      </c>
      <c r="C321" t="s">
        <v>25</v>
      </c>
      <c r="D321" t="s">
        <v>719</v>
      </c>
      <c r="E321" t="s">
        <v>720</v>
      </c>
      <c r="F321">
        <v>6</v>
      </c>
      <c r="G321">
        <v>6</v>
      </c>
      <c r="H321">
        <v>12</v>
      </c>
      <c r="I321" s="7">
        <v>1</v>
      </c>
      <c r="J321" s="7">
        <v>0</v>
      </c>
      <c r="K321" s="7">
        <f>Parametri!$B$6*I321+Parametri!$B$7*J321</f>
      </c>
      <c r="L321">
        <f>IF(K321&gt;=Parametri!$B$3,3,IF(K321&gt;=Parametri!$B$4,2,1))</f>
      </c>
      <c r="M321" t="s">
        <v>28</v>
      </c>
      <c r="N321" t="s">
        <v>29</v>
      </c>
    </row>
    <row r="322" spans="1:14" x14ac:dyDescent="0.25">
      <c r="A322" s="5" t="s">
        <v>641</v>
      </c>
      <c r="B322" s="5" t="s">
        <v>718</v>
      </c>
      <c r="C322" s="5" t="s">
        <v>25</v>
      </c>
      <c r="D322" s="5" t="s">
        <v>721</v>
      </c>
      <c r="E322" s="5" t="s">
        <v>722</v>
      </c>
      <c r="F322" s="5">
        <v>6</v>
      </c>
      <c r="G322" s="5">
        <v>2</v>
      </c>
      <c r="H322" s="5">
        <v>8</v>
      </c>
      <c r="I322" s="6">
        <v>1</v>
      </c>
      <c r="J322" s="6">
        <v>1</v>
      </c>
      <c r="K322" s="6">
        <f>Parametri!$B$6*I322+Parametri!$B$7*J322</f>
      </c>
      <c r="L322" s="5">
        <f>IF(K322&gt;=Parametri!$B$3,3,IF(K322&gt;=Parametri!$B$4,2,1))</f>
      </c>
      <c r="M322" s="5" t="s">
        <v>28</v>
      </c>
      <c r="N322" s="5" t="s">
        <v>29</v>
      </c>
    </row>
    <row r="323" spans="1:14" x14ac:dyDescent="0.25">
      <c r="A323" t="s">
        <v>641</v>
      </c>
      <c r="B323" t="s">
        <v>723</v>
      </c>
      <c r="C323" t="s">
        <v>25</v>
      </c>
      <c r="D323" t="s">
        <v>724</v>
      </c>
      <c r="E323" t="s">
        <v>725</v>
      </c>
      <c r="F323">
        <v>6</v>
      </c>
      <c r="G323">
        <v>0</v>
      </c>
      <c r="H323">
        <v>6</v>
      </c>
      <c r="I323" s="7">
        <v>1</v>
      </c>
      <c r="J323" s="7">
        <v>1</v>
      </c>
      <c r="K323" s="7">
        <f>Parametri!$B$6*I323+Parametri!$B$7*J323</f>
      </c>
      <c r="L323">
        <f>IF(K323&gt;=Parametri!$B$3,3,IF(K323&gt;=Parametri!$B$4,2,1))</f>
      </c>
      <c r="M323" t="s">
        <v>28</v>
      </c>
      <c r="N323" t="s">
        <v>29</v>
      </c>
    </row>
    <row r="324" spans="1:14" x14ac:dyDescent="0.25">
      <c r="A324" s="5" t="s">
        <v>641</v>
      </c>
      <c r="B324" s="5" t="s">
        <v>723</v>
      </c>
      <c r="C324" s="5" t="s">
        <v>25</v>
      </c>
      <c r="D324" s="5" t="s">
        <v>726</v>
      </c>
      <c r="E324" s="5" t="s">
        <v>727</v>
      </c>
      <c r="F324" s="5">
        <v>5</v>
      </c>
      <c r="G324" s="5">
        <v>4</v>
      </c>
      <c r="H324" s="5">
        <v>9</v>
      </c>
      <c r="I324" s="6">
        <v>0</v>
      </c>
      <c r="J324" s="6">
        <v>0</v>
      </c>
      <c r="K324" s="6">
        <f>Parametri!$B$6*I324+Parametri!$B$7*J324</f>
      </c>
      <c r="L324" s="5">
        <f>IF(K324&gt;=Parametri!$B$3,3,IF(K324&gt;=Parametri!$B$4,2,1))</f>
      </c>
      <c r="M324" s="5" t="s">
        <v>28</v>
      </c>
      <c r="N324" s="5" t="s">
        <v>29</v>
      </c>
    </row>
    <row r="325" spans="1:14" x14ac:dyDescent="0.25">
      <c r="A325" t="s">
        <v>641</v>
      </c>
      <c r="B325" t="s">
        <v>728</v>
      </c>
      <c r="C325" t="s">
        <v>25</v>
      </c>
      <c r="D325" t="s">
        <v>729</v>
      </c>
      <c r="E325" t="s">
        <v>730</v>
      </c>
      <c r="F325">
        <v>7</v>
      </c>
      <c r="G325">
        <v>2</v>
      </c>
      <c r="H325">
        <v>9</v>
      </c>
      <c r="I325" s="7">
        <v>0</v>
      </c>
      <c r="J325" s="7">
        <v>0</v>
      </c>
      <c r="K325" s="7">
        <f>Parametri!$B$6*I325+Parametri!$B$7*J325</f>
      </c>
      <c r="L325">
        <f>IF(K325&gt;=Parametri!$B$3,3,IF(K325&gt;=Parametri!$B$4,2,1))</f>
      </c>
      <c r="M325" t="s">
        <v>28</v>
      </c>
      <c r="N325" t="s">
        <v>29</v>
      </c>
    </row>
    <row r="326" spans="1:14" x14ac:dyDescent="0.25">
      <c r="A326" s="5" t="s">
        <v>641</v>
      </c>
      <c r="B326" s="5" t="s">
        <v>728</v>
      </c>
      <c r="C326" s="5" t="s">
        <v>25</v>
      </c>
      <c r="D326" s="5" t="s">
        <v>731</v>
      </c>
      <c r="E326" s="5" t="s">
        <v>732</v>
      </c>
      <c r="F326" s="5">
        <v>8</v>
      </c>
      <c r="G326" s="5">
        <v>0</v>
      </c>
      <c r="H326" s="5">
        <v>8</v>
      </c>
      <c r="I326" s="6">
        <v>1</v>
      </c>
      <c r="J326" s="6">
        <v>1</v>
      </c>
      <c r="K326" s="6">
        <f>Parametri!$B$6*I326+Parametri!$B$7*J326</f>
      </c>
      <c r="L326" s="5">
        <f>IF(K326&gt;=Parametri!$B$3,3,IF(K326&gt;=Parametri!$B$4,2,1))</f>
      </c>
      <c r="M326" s="5" t="s">
        <v>28</v>
      </c>
      <c r="N326" s="5" t="s">
        <v>29</v>
      </c>
    </row>
    <row r="327" spans="1:14" x14ac:dyDescent="0.25">
      <c r="A327" t="s">
        <v>641</v>
      </c>
      <c r="B327" t="s">
        <v>733</v>
      </c>
      <c r="C327" t="s">
        <v>25</v>
      </c>
      <c r="D327" t="s">
        <v>734</v>
      </c>
      <c r="E327" t="s">
        <v>735</v>
      </c>
      <c r="F327">
        <v>13</v>
      </c>
      <c r="G327">
        <v>0</v>
      </c>
      <c r="H327">
        <v>13</v>
      </c>
      <c r="I327" s="7">
        <v>1</v>
      </c>
      <c r="J327" s="7">
        <v>1</v>
      </c>
      <c r="K327" s="7">
        <f>Parametri!$B$6*I327+Parametri!$B$7*J327</f>
      </c>
      <c r="L327">
        <f>IF(K327&gt;=Parametri!$B$3,3,IF(K327&gt;=Parametri!$B$4,2,1))</f>
      </c>
      <c r="M327" t="s">
        <v>28</v>
      </c>
      <c r="N327" t="s">
        <v>29</v>
      </c>
    </row>
    <row r="328" spans="1:14" x14ac:dyDescent="0.25">
      <c r="A328" s="5" t="s">
        <v>641</v>
      </c>
      <c r="B328" s="5" t="s">
        <v>733</v>
      </c>
      <c r="C328" s="5" t="s">
        <v>25</v>
      </c>
      <c r="D328" s="5" t="s">
        <v>736</v>
      </c>
      <c r="E328" s="5" t="s">
        <v>737</v>
      </c>
      <c r="F328" s="5">
        <v>11</v>
      </c>
      <c r="G328" s="5">
        <v>2</v>
      </c>
      <c r="H328" s="5">
        <v>13</v>
      </c>
      <c r="I328" s="6">
        <v>0</v>
      </c>
      <c r="J328" s="6">
        <v>0</v>
      </c>
      <c r="K328" s="6">
        <f>Parametri!$B$6*I328+Parametri!$B$7*J328</f>
      </c>
      <c r="L328" s="5">
        <f>IF(K328&gt;=Parametri!$B$3,3,IF(K328&gt;=Parametri!$B$4,2,1))</f>
      </c>
      <c r="M328" s="5" t="s">
        <v>28</v>
      </c>
      <c r="N328" s="5" t="s">
        <v>29</v>
      </c>
    </row>
    <row r="329" spans="1:14" x14ac:dyDescent="0.25">
      <c r="A329" t="s">
        <v>641</v>
      </c>
      <c r="B329" t="s">
        <v>738</v>
      </c>
      <c r="C329" t="s">
        <v>25</v>
      </c>
      <c r="D329" t="s">
        <v>739</v>
      </c>
      <c r="E329" t="s">
        <v>740</v>
      </c>
      <c r="F329">
        <v>6</v>
      </c>
      <c r="G329">
        <v>4</v>
      </c>
      <c r="H329">
        <v>10</v>
      </c>
      <c r="I329" s="7">
        <v>0.9090909090909091</v>
      </c>
      <c r="J329" s="7">
        <v>0.7272727272727273</v>
      </c>
      <c r="K329" s="7">
        <f>Parametri!$B$6*I329+Parametri!$B$7*J329</f>
      </c>
      <c r="L329">
        <f>IF(K329&gt;=Parametri!$B$3,3,IF(K329&gt;=Parametri!$B$4,2,1))</f>
      </c>
      <c r="M329" t="s">
        <v>28</v>
      </c>
      <c r="N329" t="s">
        <v>29</v>
      </c>
    </row>
    <row r="330" spans="1:14" x14ac:dyDescent="0.25">
      <c r="A330" s="5" t="s">
        <v>641</v>
      </c>
      <c r="B330" s="5" t="s">
        <v>738</v>
      </c>
      <c r="C330" s="5" t="s">
        <v>25</v>
      </c>
      <c r="D330" s="5" t="s">
        <v>741</v>
      </c>
      <c r="E330" s="5" t="s">
        <v>742</v>
      </c>
      <c r="F330" s="5">
        <v>5</v>
      </c>
      <c r="G330" s="5">
        <v>7</v>
      </c>
      <c r="H330" s="5">
        <v>12</v>
      </c>
      <c r="I330" s="6">
        <v>0.36363636363636365</v>
      </c>
      <c r="J330" s="6">
        <v>0.18181818181818177</v>
      </c>
      <c r="K330" s="6">
        <f>Parametri!$B$6*I330+Parametri!$B$7*J330</f>
      </c>
      <c r="L330" s="5">
        <f>IF(K330&gt;=Parametri!$B$3,3,IF(K330&gt;=Parametri!$B$4,2,1))</f>
      </c>
      <c r="M330" s="5" t="s">
        <v>28</v>
      </c>
      <c r="N330" s="5" t="s">
        <v>29</v>
      </c>
    </row>
    <row r="331" spans="1:14" x14ac:dyDescent="0.25">
      <c r="A331" t="s">
        <v>641</v>
      </c>
      <c r="B331" t="s">
        <v>738</v>
      </c>
      <c r="C331" t="s">
        <v>25</v>
      </c>
      <c r="D331" t="s">
        <v>743</v>
      </c>
      <c r="E331" t="s">
        <v>744</v>
      </c>
      <c r="F331">
        <v>6</v>
      </c>
      <c r="G331">
        <v>7</v>
      </c>
      <c r="H331">
        <v>13</v>
      </c>
      <c r="I331" s="7">
        <v>0.9090909090909091</v>
      </c>
      <c r="J331" s="7">
        <v>0.18181818181818177</v>
      </c>
      <c r="K331" s="7">
        <f>Parametri!$B$6*I331+Parametri!$B$7*J331</f>
      </c>
      <c r="L331">
        <f>IF(K331&gt;=Parametri!$B$3,3,IF(K331&gt;=Parametri!$B$4,2,1))</f>
      </c>
      <c r="M331" t="s">
        <v>28</v>
      </c>
      <c r="N331" t="s">
        <v>29</v>
      </c>
    </row>
    <row r="332" spans="1:14" x14ac:dyDescent="0.25">
      <c r="A332" s="5" t="s">
        <v>641</v>
      </c>
      <c r="B332" s="5" t="s">
        <v>738</v>
      </c>
      <c r="C332" s="5" t="s">
        <v>25</v>
      </c>
      <c r="D332" s="5" t="s">
        <v>745</v>
      </c>
      <c r="E332" s="5" t="s">
        <v>746</v>
      </c>
      <c r="F332" s="5">
        <v>6</v>
      </c>
      <c r="G332" s="5">
        <v>5</v>
      </c>
      <c r="H332" s="5">
        <v>11</v>
      </c>
      <c r="I332" s="6">
        <v>0.9090909090909091</v>
      </c>
      <c r="J332" s="6">
        <v>0.5454545454545454</v>
      </c>
      <c r="K332" s="6">
        <f>Parametri!$B$6*I332+Parametri!$B$7*J332</f>
      </c>
      <c r="L332" s="5">
        <f>IF(K332&gt;=Parametri!$B$3,3,IF(K332&gt;=Parametri!$B$4,2,1))</f>
      </c>
      <c r="M332" s="5" t="s">
        <v>28</v>
      </c>
      <c r="N332" s="5" t="s">
        <v>29</v>
      </c>
    </row>
    <row r="333" spans="1:14" x14ac:dyDescent="0.25">
      <c r="A333" t="s">
        <v>641</v>
      </c>
      <c r="B333" t="s">
        <v>738</v>
      </c>
      <c r="C333" t="s">
        <v>25</v>
      </c>
      <c r="D333" t="s">
        <v>747</v>
      </c>
      <c r="E333" t="s">
        <v>748</v>
      </c>
      <c r="F333">
        <v>6</v>
      </c>
      <c r="G333">
        <v>2</v>
      </c>
      <c r="H333">
        <v>8</v>
      </c>
      <c r="I333" s="7">
        <v>0.9090909090909091</v>
      </c>
      <c r="J333" s="7">
        <v>1</v>
      </c>
      <c r="K333" s="7">
        <f>Parametri!$B$6*I333+Parametri!$B$7*J333</f>
      </c>
      <c r="L333">
        <f>IF(K333&gt;=Parametri!$B$3,3,IF(K333&gt;=Parametri!$B$4,2,1))</f>
      </c>
      <c r="M333" t="s">
        <v>28</v>
      </c>
      <c r="N333" t="s">
        <v>29</v>
      </c>
    </row>
    <row r="334" spans="1:14" x14ac:dyDescent="0.25">
      <c r="A334" s="5" t="s">
        <v>641</v>
      </c>
      <c r="B334" s="5" t="s">
        <v>738</v>
      </c>
      <c r="C334" s="5" t="s">
        <v>25</v>
      </c>
      <c r="D334" s="5" t="s">
        <v>749</v>
      </c>
      <c r="E334" s="5" t="s">
        <v>750</v>
      </c>
      <c r="F334" s="5">
        <v>5</v>
      </c>
      <c r="G334" s="5">
        <v>3</v>
      </c>
      <c r="H334" s="5">
        <v>8</v>
      </c>
      <c r="I334" s="6">
        <v>0.36363636363636365</v>
      </c>
      <c r="J334" s="6">
        <v>0.9090909090909091</v>
      </c>
      <c r="K334" s="6">
        <f>Parametri!$B$6*I334+Parametri!$B$7*J334</f>
      </c>
      <c r="L334" s="5">
        <f>IF(K334&gt;=Parametri!$B$3,3,IF(K334&gt;=Parametri!$B$4,2,1))</f>
      </c>
      <c r="M334" s="5" t="s">
        <v>28</v>
      </c>
      <c r="N334" s="5" t="s">
        <v>29</v>
      </c>
    </row>
    <row r="335" spans="1:14" x14ac:dyDescent="0.25">
      <c r="A335" t="s">
        <v>641</v>
      </c>
      <c r="B335" t="s">
        <v>738</v>
      </c>
      <c r="C335" t="s">
        <v>25</v>
      </c>
      <c r="D335" t="s">
        <v>751</v>
      </c>
      <c r="E335" t="s">
        <v>752</v>
      </c>
      <c r="F335">
        <v>5</v>
      </c>
      <c r="G335">
        <v>4</v>
      </c>
      <c r="H335">
        <v>9</v>
      </c>
      <c r="I335" s="7">
        <v>0.36363636363636365</v>
      </c>
      <c r="J335" s="7">
        <v>0.7272727272727273</v>
      </c>
      <c r="K335" s="7">
        <f>Parametri!$B$6*I335+Parametri!$B$7*J335</f>
      </c>
      <c r="L335">
        <f>IF(K335&gt;=Parametri!$B$3,3,IF(K335&gt;=Parametri!$B$4,2,1))</f>
      </c>
      <c r="M335" t="s">
        <v>28</v>
      </c>
      <c r="N335" t="s">
        <v>29</v>
      </c>
    </row>
    <row r="336" spans="1:14" x14ac:dyDescent="0.25">
      <c r="A336" s="5" t="s">
        <v>641</v>
      </c>
      <c r="B336" s="5" t="s">
        <v>738</v>
      </c>
      <c r="C336" s="5" t="s">
        <v>25</v>
      </c>
      <c r="D336" s="5" t="s">
        <v>753</v>
      </c>
      <c r="E336" s="5" t="s">
        <v>754</v>
      </c>
      <c r="F336" s="5">
        <v>5</v>
      </c>
      <c r="G336" s="5">
        <v>8</v>
      </c>
      <c r="H336" s="5">
        <v>13</v>
      </c>
      <c r="I336" s="6">
        <v>0.36363636363636365</v>
      </c>
      <c r="J336" s="6">
        <v>0</v>
      </c>
      <c r="K336" s="6">
        <f>Parametri!$B$6*I336+Parametri!$B$7*J336</f>
      </c>
      <c r="L336" s="5">
        <f>IF(K336&gt;=Parametri!$B$3,3,IF(K336&gt;=Parametri!$B$4,2,1))</f>
      </c>
      <c r="M336" s="5" t="s">
        <v>28</v>
      </c>
      <c r="N336" s="5" t="s">
        <v>29</v>
      </c>
    </row>
    <row r="337" spans="1:14" x14ac:dyDescent="0.25">
      <c r="A337" t="s">
        <v>641</v>
      </c>
      <c r="B337" t="s">
        <v>738</v>
      </c>
      <c r="C337" t="s">
        <v>25</v>
      </c>
      <c r="D337" t="s">
        <v>755</v>
      </c>
      <c r="E337" t="s">
        <v>756</v>
      </c>
      <c r="F337">
        <v>6</v>
      </c>
      <c r="G337">
        <v>6</v>
      </c>
      <c r="H337">
        <v>12</v>
      </c>
      <c r="I337" s="7">
        <v>0.9090909090909091</v>
      </c>
      <c r="J337" s="7">
        <v>0.36363636363636365</v>
      </c>
      <c r="K337" s="7">
        <f>Parametri!$B$6*I337+Parametri!$B$7*J337</f>
      </c>
      <c r="L337">
        <f>IF(K337&gt;=Parametri!$B$3,3,IF(K337&gt;=Parametri!$B$4,2,1))</f>
      </c>
      <c r="M337" t="s">
        <v>28</v>
      </c>
      <c r="N337" t="s">
        <v>29</v>
      </c>
    </row>
    <row r="338" spans="1:14" x14ac:dyDescent="0.25">
      <c r="A338" s="5" t="s">
        <v>641</v>
      </c>
      <c r="B338" s="5" t="s">
        <v>738</v>
      </c>
      <c r="C338" s="5" t="s">
        <v>25</v>
      </c>
      <c r="D338" s="5" t="s">
        <v>757</v>
      </c>
      <c r="E338" s="5" t="s">
        <v>758</v>
      </c>
      <c r="F338" s="5">
        <v>4</v>
      </c>
      <c r="G338" s="5">
        <v>8</v>
      </c>
      <c r="H338" s="5">
        <v>12</v>
      </c>
      <c r="I338" s="6">
        <v>0</v>
      </c>
      <c r="J338" s="6">
        <v>0</v>
      </c>
      <c r="K338" s="6">
        <f>Parametri!$B$6*I338+Parametri!$B$7*J338</f>
      </c>
      <c r="L338" s="5">
        <f>IF(K338&gt;=Parametri!$B$3,3,IF(K338&gt;=Parametri!$B$4,2,1))</f>
      </c>
      <c r="M338" s="5" t="s">
        <v>28</v>
      </c>
      <c r="N338" s="5" t="s">
        <v>29</v>
      </c>
    </row>
    <row r="339" spans="1:14" x14ac:dyDescent="0.25">
      <c r="A339" t="s">
        <v>641</v>
      </c>
      <c r="B339" t="s">
        <v>738</v>
      </c>
      <c r="C339" t="s">
        <v>25</v>
      </c>
      <c r="D339" t="s">
        <v>759</v>
      </c>
      <c r="E339" t="s">
        <v>760</v>
      </c>
      <c r="F339">
        <v>6</v>
      </c>
      <c r="G339">
        <v>5</v>
      </c>
      <c r="H339">
        <v>11</v>
      </c>
      <c r="I339" s="7">
        <v>0.9090909090909091</v>
      </c>
      <c r="J339" s="7">
        <v>0.5454545454545454</v>
      </c>
      <c r="K339" s="7">
        <f>Parametri!$B$6*I339+Parametri!$B$7*J339</f>
      </c>
      <c r="L339">
        <f>IF(K339&gt;=Parametri!$B$3,3,IF(K339&gt;=Parametri!$B$4,2,1))</f>
      </c>
      <c r="M339" t="s">
        <v>28</v>
      </c>
      <c r="N339" t="s">
        <v>29</v>
      </c>
    </row>
    <row r="340" spans="1:14" x14ac:dyDescent="0.25">
      <c r="A340" s="5" t="s">
        <v>641</v>
      </c>
      <c r="B340" s="5" t="s">
        <v>738</v>
      </c>
      <c r="C340" s="5" t="s">
        <v>25</v>
      </c>
      <c r="D340" s="5" t="s">
        <v>761</v>
      </c>
      <c r="E340" s="5" t="s">
        <v>762</v>
      </c>
      <c r="F340" s="5">
        <v>8</v>
      </c>
      <c r="G340" s="5">
        <v>6</v>
      </c>
      <c r="H340" s="5">
        <v>14</v>
      </c>
      <c r="I340" s="6">
        <v>1</v>
      </c>
      <c r="J340" s="6">
        <v>0.36363636363636365</v>
      </c>
      <c r="K340" s="6">
        <f>Parametri!$B$6*I340+Parametri!$B$7*J340</f>
      </c>
      <c r="L340" s="5">
        <f>IF(K340&gt;=Parametri!$B$3,3,IF(K340&gt;=Parametri!$B$4,2,1))</f>
      </c>
      <c r="M340" s="5" t="s">
        <v>28</v>
      </c>
      <c r="N340" s="5" t="s">
        <v>29</v>
      </c>
    </row>
    <row r="341" spans="1:14" x14ac:dyDescent="0.25">
      <c r="A341" t="s">
        <v>641</v>
      </c>
      <c r="B341" t="s">
        <v>763</v>
      </c>
      <c r="C341" t="s">
        <v>25</v>
      </c>
      <c r="D341" t="s">
        <v>764</v>
      </c>
      <c r="E341" t="s">
        <v>765</v>
      </c>
      <c r="F341">
        <v>3</v>
      </c>
      <c r="G341">
        <v>7</v>
      </c>
      <c r="H341">
        <v>10</v>
      </c>
      <c r="I341" s="7">
        <v>0</v>
      </c>
      <c r="J341" s="7">
        <v>0</v>
      </c>
      <c r="K341" s="7">
        <f>Parametri!$B$6*I341+Parametri!$B$7*J341</f>
      </c>
      <c r="L341">
        <f>IF(K341&gt;=Parametri!$B$3,3,IF(K341&gt;=Parametri!$B$4,2,1))</f>
      </c>
      <c r="M341" t="s">
        <v>28</v>
      </c>
      <c r="N341" t="s">
        <v>29</v>
      </c>
    </row>
    <row r="342" spans="1:14" x14ac:dyDescent="0.25">
      <c r="A342" s="5" t="s">
        <v>641</v>
      </c>
      <c r="B342" s="5" t="s">
        <v>763</v>
      </c>
      <c r="C342" s="5" t="s">
        <v>25</v>
      </c>
      <c r="D342" s="5" t="s">
        <v>766</v>
      </c>
      <c r="E342" s="5" t="s">
        <v>767</v>
      </c>
      <c r="F342" s="5">
        <v>6</v>
      </c>
      <c r="G342" s="5">
        <v>1</v>
      </c>
      <c r="H342" s="5">
        <v>7</v>
      </c>
      <c r="I342" s="6">
        <v>1</v>
      </c>
      <c r="J342" s="6">
        <v>1</v>
      </c>
      <c r="K342" s="6">
        <f>Parametri!$B$6*I342+Parametri!$B$7*J342</f>
      </c>
      <c r="L342" s="5">
        <f>IF(K342&gt;=Parametri!$B$3,3,IF(K342&gt;=Parametri!$B$4,2,1))</f>
      </c>
      <c r="M342" s="5" t="s">
        <v>28</v>
      </c>
      <c r="N342" s="5" t="s">
        <v>29</v>
      </c>
    </row>
    <row r="343" spans="1:14" x14ac:dyDescent="0.25">
      <c r="A343" t="s">
        <v>641</v>
      </c>
      <c r="B343" t="s">
        <v>768</v>
      </c>
      <c r="C343" t="s">
        <v>25</v>
      </c>
      <c r="D343" t="s">
        <v>769</v>
      </c>
      <c r="E343" t="s">
        <v>770</v>
      </c>
      <c r="F343">
        <v>10</v>
      </c>
      <c r="G343">
        <v>1</v>
      </c>
      <c r="H343">
        <v>11</v>
      </c>
      <c r="I343" s="7">
        <v>0</v>
      </c>
      <c r="J343" s="7">
        <v>0</v>
      </c>
      <c r="K343" s="7">
        <f>Parametri!$B$6*I343+Parametri!$B$7*J343</f>
      </c>
      <c r="L343">
        <f>IF(K343&gt;=Parametri!$B$3,3,IF(K343&gt;=Parametri!$B$4,2,1))</f>
      </c>
      <c r="M343" t="s">
        <v>28</v>
      </c>
      <c r="N343" t="s">
        <v>29</v>
      </c>
    </row>
    <row r="344" spans="1:14" x14ac:dyDescent="0.25">
      <c r="A344" s="5" t="s">
        <v>641</v>
      </c>
      <c r="B344" s="5" t="s">
        <v>768</v>
      </c>
      <c r="C344" s="5" t="s">
        <v>25</v>
      </c>
      <c r="D344" s="5" t="s">
        <v>771</v>
      </c>
      <c r="E344" s="5" t="s">
        <v>772</v>
      </c>
      <c r="F344" s="5">
        <v>11</v>
      </c>
      <c r="G344" s="5">
        <v>1</v>
      </c>
      <c r="H344" s="5">
        <v>12</v>
      </c>
      <c r="I344" s="6">
        <v>1</v>
      </c>
      <c r="J344" s="6">
        <v>0</v>
      </c>
      <c r="K344" s="6">
        <f>Parametri!$B$6*I344+Parametri!$B$7*J344</f>
      </c>
      <c r="L344" s="5">
        <f>IF(K344&gt;=Parametri!$B$3,3,IF(K344&gt;=Parametri!$B$4,2,1))</f>
      </c>
      <c r="M344" s="5" t="s">
        <v>28</v>
      </c>
      <c r="N344" s="5" t="s">
        <v>29</v>
      </c>
    </row>
    <row r="345" spans="1:14" x14ac:dyDescent="0.25">
      <c r="A345" t="s">
        <v>641</v>
      </c>
      <c r="B345" t="s">
        <v>773</v>
      </c>
      <c r="C345" t="s">
        <v>75</v>
      </c>
      <c r="D345" t="s">
        <v>774</v>
      </c>
      <c r="E345" t="s">
        <v>775</v>
      </c>
      <c r="F345">
        <v>10</v>
      </c>
      <c r="G345">
        <v>7</v>
      </c>
      <c r="H345">
        <v>17</v>
      </c>
      <c r="I345" s="7">
        <v>0.7142857142857143</v>
      </c>
      <c r="J345" s="7">
        <v>0.1428571428571429</v>
      </c>
      <c r="K345" s="7">
        <f>Parametri!$B$6*I345+Parametri!$B$7*J345</f>
      </c>
      <c r="L345">
        <f>IF(K345&gt;=Parametri!$B$3,3,IF(K345&gt;=Parametri!$B$4,2,1))</f>
      </c>
      <c r="M345" t="s">
        <v>28</v>
      </c>
      <c r="N345" t="s">
        <v>29</v>
      </c>
    </row>
    <row r="346" spans="1:14" x14ac:dyDescent="0.25">
      <c r="A346" s="5" t="s">
        <v>641</v>
      </c>
      <c r="B346" s="5" t="s">
        <v>773</v>
      </c>
      <c r="C346" s="5" t="s">
        <v>75</v>
      </c>
      <c r="D346" s="5" t="s">
        <v>776</v>
      </c>
      <c r="E346" s="5" t="s">
        <v>777</v>
      </c>
      <c r="F346" s="5">
        <v>8</v>
      </c>
      <c r="G346" s="5">
        <v>9</v>
      </c>
      <c r="H346" s="5">
        <v>17</v>
      </c>
      <c r="I346" s="6">
        <v>0</v>
      </c>
      <c r="J346" s="6">
        <v>0</v>
      </c>
      <c r="K346" s="6">
        <f>Parametri!$B$6*I346+Parametri!$B$7*J346</f>
      </c>
      <c r="L346" s="5">
        <f>IF(K346&gt;=Parametri!$B$3,3,IF(K346&gt;=Parametri!$B$4,2,1))</f>
      </c>
      <c r="M346" s="5" t="s">
        <v>28</v>
      </c>
      <c r="N346" s="5" t="s">
        <v>29</v>
      </c>
    </row>
    <row r="347" spans="1:14" x14ac:dyDescent="0.25">
      <c r="A347" t="s">
        <v>641</v>
      </c>
      <c r="B347" t="s">
        <v>773</v>
      </c>
      <c r="C347" t="s">
        <v>75</v>
      </c>
      <c r="D347" t="s">
        <v>778</v>
      </c>
      <c r="E347" t="s">
        <v>779</v>
      </c>
      <c r="F347">
        <v>10</v>
      </c>
      <c r="G347">
        <v>4</v>
      </c>
      <c r="H347">
        <v>14</v>
      </c>
      <c r="I347" s="7">
        <v>0.7142857142857143</v>
      </c>
      <c r="J347" s="7">
        <v>0.8571428571428572</v>
      </c>
      <c r="K347" s="7">
        <f>Parametri!$B$6*I347+Parametri!$B$7*J347</f>
      </c>
      <c r="L347">
        <f>IF(K347&gt;=Parametri!$B$3,3,IF(K347&gt;=Parametri!$B$4,2,1))</f>
      </c>
      <c r="M347" t="s">
        <v>28</v>
      </c>
      <c r="N347" t="s">
        <v>29</v>
      </c>
    </row>
    <row r="348" spans="1:14" x14ac:dyDescent="0.25">
      <c r="A348" s="5" t="s">
        <v>641</v>
      </c>
      <c r="B348" s="5" t="s">
        <v>773</v>
      </c>
      <c r="C348" s="5" t="s">
        <v>75</v>
      </c>
      <c r="D348" s="5" t="s">
        <v>780</v>
      </c>
      <c r="E348" s="5" t="s">
        <v>781</v>
      </c>
      <c r="F348" s="5">
        <v>9</v>
      </c>
      <c r="G348" s="5">
        <v>7</v>
      </c>
      <c r="H348" s="5">
        <v>16</v>
      </c>
      <c r="I348" s="6">
        <v>0.14285714285714285</v>
      </c>
      <c r="J348" s="6">
        <v>0.1428571428571429</v>
      </c>
      <c r="K348" s="6">
        <f>Parametri!$B$6*I348+Parametri!$B$7*J348</f>
      </c>
      <c r="L348" s="5">
        <f>IF(K348&gt;=Parametri!$B$3,3,IF(K348&gt;=Parametri!$B$4,2,1))</f>
      </c>
      <c r="M348" s="5" t="s">
        <v>28</v>
      </c>
      <c r="N348" s="5" t="s">
        <v>29</v>
      </c>
    </row>
    <row r="349" spans="1:14" x14ac:dyDescent="0.25">
      <c r="A349" t="s">
        <v>641</v>
      </c>
      <c r="B349" t="s">
        <v>773</v>
      </c>
      <c r="C349" t="s">
        <v>75</v>
      </c>
      <c r="D349" t="s">
        <v>782</v>
      </c>
      <c r="E349" t="s">
        <v>783</v>
      </c>
      <c r="F349">
        <v>10</v>
      </c>
      <c r="G349">
        <v>5</v>
      </c>
      <c r="H349">
        <v>15</v>
      </c>
      <c r="I349" s="7">
        <v>0.7142857142857143</v>
      </c>
      <c r="J349" s="7">
        <v>0.5714285714285714</v>
      </c>
      <c r="K349" s="7">
        <f>Parametri!$B$6*I349+Parametri!$B$7*J349</f>
      </c>
      <c r="L349">
        <f>IF(K349&gt;=Parametri!$B$3,3,IF(K349&gt;=Parametri!$B$4,2,1))</f>
      </c>
      <c r="M349" t="s">
        <v>28</v>
      </c>
      <c r="N349" t="s">
        <v>29</v>
      </c>
    </row>
    <row r="350" spans="1:14" x14ac:dyDescent="0.25">
      <c r="A350" s="5" t="s">
        <v>641</v>
      </c>
      <c r="B350" s="5" t="s">
        <v>773</v>
      </c>
      <c r="C350" s="5" t="s">
        <v>75</v>
      </c>
      <c r="D350" s="5" t="s">
        <v>784</v>
      </c>
      <c r="E350" s="5" t="s">
        <v>785</v>
      </c>
      <c r="F350" s="5">
        <v>12</v>
      </c>
      <c r="G350" s="5">
        <v>7</v>
      </c>
      <c r="H350" s="5">
        <v>19</v>
      </c>
      <c r="I350" s="6">
        <v>1</v>
      </c>
      <c r="J350" s="6">
        <v>0.1428571428571429</v>
      </c>
      <c r="K350" s="6">
        <f>Parametri!$B$6*I350+Parametri!$B$7*J350</f>
      </c>
      <c r="L350" s="5">
        <f>IF(K350&gt;=Parametri!$B$3,3,IF(K350&gt;=Parametri!$B$4,2,1))</f>
      </c>
      <c r="M350" s="5" t="s">
        <v>28</v>
      </c>
      <c r="N350" s="5" t="s">
        <v>29</v>
      </c>
    </row>
    <row r="351" spans="1:14" x14ac:dyDescent="0.25">
      <c r="A351" t="s">
        <v>641</v>
      </c>
      <c r="B351" t="s">
        <v>773</v>
      </c>
      <c r="C351" t="s">
        <v>75</v>
      </c>
      <c r="D351" t="s">
        <v>786</v>
      </c>
      <c r="E351" t="s">
        <v>787</v>
      </c>
      <c r="F351">
        <v>10</v>
      </c>
      <c r="G351">
        <v>4</v>
      </c>
      <c r="H351">
        <v>14</v>
      </c>
      <c r="I351" s="7">
        <v>0.7142857142857143</v>
      </c>
      <c r="J351" s="7">
        <v>0.8571428571428572</v>
      </c>
      <c r="K351" s="7">
        <f>Parametri!$B$6*I351+Parametri!$B$7*J351</f>
      </c>
      <c r="L351">
        <f>IF(K351&gt;=Parametri!$B$3,3,IF(K351&gt;=Parametri!$B$4,2,1))</f>
      </c>
      <c r="M351" t="s">
        <v>28</v>
      </c>
      <c r="N351" t="s">
        <v>29</v>
      </c>
    </row>
    <row r="352" spans="1:14" x14ac:dyDescent="0.25">
      <c r="A352" s="5" t="s">
        <v>641</v>
      </c>
      <c r="B352" s="5" t="s">
        <v>773</v>
      </c>
      <c r="C352" s="5" t="s">
        <v>75</v>
      </c>
      <c r="D352" s="5" t="s">
        <v>788</v>
      </c>
      <c r="E352" s="5" t="s">
        <v>789</v>
      </c>
      <c r="F352" s="5">
        <v>11</v>
      </c>
      <c r="G352" s="5">
        <v>5</v>
      </c>
      <c r="H352" s="5">
        <v>16</v>
      </c>
      <c r="I352" s="6">
        <v>0.8571428571428571</v>
      </c>
      <c r="J352" s="6">
        <v>0.5714285714285714</v>
      </c>
      <c r="K352" s="6">
        <f>Parametri!$B$6*I352+Parametri!$B$7*J352</f>
      </c>
      <c r="L352" s="5">
        <f>IF(K352&gt;=Parametri!$B$3,3,IF(K352&gt;=Parametri!$B$4,2,1))</f>
      </c>
      <c r="M352" s="5" t="s">
        <v>28</v>
      </c>
      <c r="N352" s="5" t="s">
        <v>29</v>
      </c>
    </row>
    <row r="353" spans="1:14" x14ac:dyDescent="0.25">
      <c r="A353" t="s">
        <v>641</v>
      </c>
      <c r="B353" t="s">
        <v>790</v>
      </c>
      <c r="C353" t="s">
        <v>25</v>
      </c>
      <c r="D353" t="s">
        <v>791</v>
      </c>
      <c r="E353" t="s">
        <v>792</v>
      </c>
      <c r="F353">
        <v>10</v>
      </c>
      <c r="G353">
        <v>2</v>
      </c>
      <c r="H353">
        <v>12</v>
      </c>
      <c r="I353" s="7">
        <v>1</v>
      </c>
      <c r="J353" s="7">
        <v>0</v>
      </c>
      <c r="K353" s="7">
        <f>Parametri!$B$6*I353+Parametri!$B$7*J353</f>
      </c>
      <c r="L353">
        <f>IF(K353&gt;=Parametri!$B$3,3,IF(K353&gt;=Parametri!$B$4,2,1))</f>
      </c>
      <c r="M353" t="s">
        <v>28</v>
      </c>
      <c r="N353" t="s">
        <v>29</v>
      </c>
    </row>
    <row r="354" spans="1:14" x14ac:dyDescent="0.25">
      <c r="A354" s="5" t="s">
        <v>641</v>
      </c>
      <c r="B354" s="5" t="s">
        <v>790</v>
      </c>
      <c r="C354" s="5" t="s">
        <v>25</v>
      </c>
      <c r="D354" s="5" t="s">
        <v>793</v>
      </c>
      <c r="E354" s="5" t="s">
        <v>794</v>
      </c>
      <c r="F354" s="5">
        <v>8</v>
      </c>
      <c r="G354" s="5">
        <v>2</v>
      </c>
      <c r="H354" s="5">
        <v>10</v>
      </c>
      <c r="I354" s="6">
        <v>0</v>
      </c>
      <c r="J354" s="6">
        <v>0</v>
      </c>
      <c r="K354" s="6">
        <f>Parametri!$B$6*I354+Parametri!$B$7*J354</f>
      </c>
      <c r="L354" s="5">
        <f>IF(K354&gt;=Parametri!$B$3,3,IF(K354&gt;=Parametri!$B$4,2,1))</f>
      </c>
      <c r="M354" s="5" t="s">
        <v>28</v>
      </c>
      <c r="N354" s="5" t="s">
        <v>29</v>
      </c>
    </row>
    <row r="355" spans="1:14" x14ac:dyDescent="0.25">
      <c r="A355" t="s">
        <v>641</v>
      </c>
      <c r="B355" t="s">
        <v>795</v>
      </c>
      <c r="C355" t="s">
        <v>25</v>
      </c>
      <c r="D355" t="s">
        <v>796</v>
      </c>
      <c r="E355" t="s">
        <v>797</v>
      </c>
      <c r="F355">
        <v>6</v>
      </c>
      <c r="G355">
        <v>5</v>
      </c>
      <c r="H355">
        <v>11</v>
      </c>
      <c r="I355" s="7">
        <v>0</v>
      </c>
      <c r="J355" s="7">
        <v>0</v>
      </c>
      <c r="K355" s="7">
        <f>Parametri!$B$6*I355+Parametri!$B$7*J355</f>
      </c>
      <c r="L355">
        <f>IF(K355&gt;=Parametri!$B$3,3,IF(K355&gt;=Parametri!$B$4,2,1))</f>
      </c>
      <c r="M355" t="s">
        <v>28</v>
      </c>
      <c r="N355" t="s">
        <v>29</v>
      </c>
    </row>
    <row r="356" spans="1:14" x14ac:dyDescent="0.25">
      <c r="A356" s="5" t="s">
        <v>641</v>
      </c>
      <c r="B356" s="5" t="s">
        <v>795</v>
      </c>
      <c r="C356" s="5" t="s">
        <v>25</v>
      </c>
      <c r="D356" s="5" t="s">
        <v>798</v>
      </c>
      <c r="E356" s="5" t="s">
        <v>799</v>
      </c>
      <c r="F356" s="5">
        <v>10</v>
      </c>
      <c r="G356" s="5">
        <v>2</v>
      </c>
      <c r="H356" s="5">
        <v>12</v>
      </c>
      <c r="I356" s="6">
        <v>1</v>
      </c>
      <c r="J356" s="6">
        <v>1</v>
      </c>
      <c r="K356" s="6">
        <f>Parametri!$B$6*I356+Parametri!$B$7*J356</f>
      </c>
      <c r="L356" s="5">
        <f>IF(K356&gt;=Parametri!$B$3,3,IF(K356&gt;=Parametri!$B$4,2,1))</f>
      </c>
      <c r="M356" s="5" t="s">
        <v>28</v>
      </c>
      <c r="N356" s="5" t="s">
        <v>29</v>
      </c>
    </row>
    <row r="357" spans="1:14" x14ac:dyDescent="0.25">
      <c r="A357" t="s">
        <v>641</v>
      </c>
      <c r="B357" t="s">
        <v>800</v>
      </c>
      <c r="C357" t="s">
        <v>25</v>
      </c>
      <c r="D357" t="s">
        <v>801</v>
      </c>
      <c r="E357" t="s">
        <v>802</v>
      </c>
      <c r="F357">
        <v>6</v>
      </c>
      <c r="G357">
        <v>2</v>
      </c>
      <c r="H357">
        <v>8</v>
      </c>
      <c r="I357" s="7">
        <v>1</v>
      </c>
      <c r="J357" s="7">
        <v>0</v>
      </c>
      <c r="K357" s="7">
        <f>Parametri!$B$6*I357+Parametri!$B$7*J357</f>
      </c>
      <c r="L357">
        <f>IF(K357&gt;=Parametri!$B$3,3,IF(K357&gt;=Parametri!$B$4,2,1))</f>
      </c>
      <c r="M357" t="s">
        <v>28</v>
      </c>
      <c r="N357" t="s">
        <v>29</v>
      </c>
    </row>
    <row r="358" spans="1:14" x14ac:dyDescent="0.25">
      <c r="A358" s="8" t="s">
        <v>641</v>
      </c>
      <c r="B358" s="8" t="s">
        <v>800</v>
      </c>
      <c r="C358" s="8" t="s">
        <v>25</v>
      </c>
      <c r="D358" s="8" t="s">
        <v>803</v>
      </c>
      <c r="E358" s="8" t="s">
        <v>804</v>
      </c>
      <c r="F358" s="8">
        <v>4</v>
      </c>
      <c r="G358" s="8">
        <v>0</v>
      </c>
      <c r="H358" s="8">
        <v>4</v>
      </c>
      <c r="I358" s="8" t="s">
        <v>55</v>
      </c>
      <c r="J358" s="8" t="s">
        <v>55</v>
      </c>
      <c r="K358" s="8" t="s">
        <v>55</v>
      </c>
      <c r="L358" s="8" t="s">
        <v>56</v>
      </c>
      <c r="M358" s="8" t="s">
        <v>28</v>
      </c>
      <c r="N358" s="8" t="s">
        <v>56</v>
      </c>
    </row>
    <row r="359" spans="1:14" x14ac:dyDescent="0.25">
      <c r="A359" t="s">
        <v>641</v>
      </c>
      <c r="B359" t="s">
        <v>805</v>
      </c>
      <c r="C359" t="s">
        <v>25</v>
      </c>
      <c r="D359" t="s">
        <v>806</v>
      </c>
      <c r="E359" t="s">
        <v>804</v>
      </c>
      <c r="F359">
        <v>8</v>
      </c>
      <c r="G359">
        <v>3</v>
      </c>
      <c r="H359">
        <v>11</v>
      </c>
      <c r="I359" s="7">
        <v>1</v>
      </c>
      <c r="J359" s="7">
        <v>0</v>
      </c>
      <c r="K359" s="7">
        <f>Parametri!$B$6*I359+Parametri!$B$7*J359</f>
      </c>
      <c r="L359">
        <f>IF(K359&gt;=Parametri!$B$3,3,IF(K359&gt;=Parametri!$B$4,2,1))</f>
      </c>
      <c r="M359" t="s">
        <v>28</v>
      </c>
      <c r="N359" t="s">
        <v>29</v>
      </c>
    </row>
    <row r="360" spans="1:14" x14ac:dyDescent="0.25">
      <c r="A360" s="5" t="s">
        <v>641</v>
      </c>
      <c r="B360" s="5" t="s">
        <v>805</v>
      </c>
      <c r="C360" s="5" t="s">
        <v>25</v>
      </c>
      <c r="D360" s="5" t="s">
        <v>807</v>
      </c>
      <c r="E360" s="5" t="s">
        <v>808</v>
      </c>
      <c r="F360" s="5">
        <v>8</v>
      </c>
      <c r="G360" s="5">
        <v>3</v>
      </c>
      <c r="H360" s="5">
        <v>11</v>
      </c>
      <c r="I360" s="6">
        <v>1</v>
      </c>
      <c r="J360" s="6">
        <v>0</v>
      </c>
      <c r="K360" s="6">
        <f>Parametri!$B$6*I360+Parametri!$B$7*J360</f>
      </c>
      <c r="L360" s="5">
        <f>IF(K360&gt;=Parametri!$B$3,3,IF(K360&gt;=Parametri!$B$4,2,1))</f>
      </c>
      <c r="M360" s="5" t="s">
        <v>28</v>
      </c>
      <c r="N360" s="5" t="s">
        <v>29</v>
      </c>
    </row>
    <row r="361" spans="1:14" x14ac:dyDescent="0.25">
      <c r="A361" t="s">
        <v>641</v>
      </c>
      <c r="B361" t="s">
        <v>809</v>
      </c>
      <c r="C361" t="s">
        <v>25</v>
      </c>
      <c r="D361" t="s">
        <v>810</v>
      </c>
      <c r="E361" t="s">
        <v>754</v>
      </c>
      <c r="F361">
        <v>7</v>
      </c>
      <c r="G361">
        <v>3</v>
      </c>
      <c r="H361">
        <v>10</v>
      </c>
      <c r="I361" s="7">
        <v>1</v>
      </c>
      <c r="J361" s="7">
        <v>1</v>
      </c>
      <c r="K361" s="7">
        <f>Parametri!$B$6*I361+Parametri!$B$7*J361</f>
      </c>
      <c r="L361">
        <f>IF(K361&gt;=Parametri!$B$3,3,IF(K361&gt;=Parametri!$B$4,2,1))</f>
      </c>
      <c r="M361" t="s">
        <v>28</v>
      </c>
      <c r="N361" t="s">
        <v>29</v>
      </c>
    </row>
    <row r="362" spans="1:14" x14ac:dyDescent="0.25">
      <c r="A362" s="5" t="s">
        <v>641</v>
      </c>
      <c r="B362" s="5" t="s">
        <v>809</v>
      </c>
      <c r="C362" s="5" t="s">
        <v>25</v>
      </c>
      <c r="D362" s="5" t="s">
        <v>811</v>
      </c>
      <c r="E362" s="5" t="s">
        <v>665</v>
      </c>
      <c r="F362" s="5">
        <v>7</v>
      </c>
      <c r="G362" s="5">
        <v>4</v>
      </c>
      <c r="H362" s="5">
        <v>11</v>
      </c>
      <c r="I362" s="6">
        <v>1</v>
      </c>
      <c r="J362" s="6">
        <v>0</v>
      </c>
      <c r="K362" s="6">
        <f>Parametri!$B$6*I362+Parametri!$B$7*J362</f>
      </c>
      <c r="L362" s="5">
        <f>IF(K362&gt;=Parametri!$B$3,3,IF(K362&gt;=Parametri!$B$4,2,1))</f>
      </c>
      <c r="M362" s="5" t="s">
        <v>28</v>
      </c>
      <c r="N362" s="5" t="s">
        <v>29</v>
      </c>
    </row>
    <row r="363" spans="1:14" x14ac:dyDescent="0.25">
      <c r="A363" t="s">
        <v>641</v>
      </c>
      <c r="B363" t="s">
        <v>812</v>
      </c>
      <c r="C363" t="s">
        <v>25</v>
      </c>
      <c r="D363" t="s">
        <v>813</v>
      </c>
      <c r="E363" t="s">
        <v>814</v>
      </c>
      <c r="F363">
        <v>5</v>
      </c>
      <c r="G363">
        <v>3</v>
      </c>
      <c r="H363">
        <v>8</v>
      </c>
      <c r="I363" s="7">
        <v>1</v>
      </c>
      <c r="J363" s="7">
        <v>1</v>
      </c>
      <c r="K363" s="7">
        <f>Parametri!$B$6*I363+Parametri!$B$7*J363</f>
      </c>
      <c r="L363">
        <f>IF(K363&gt;=Parametri!$B$3,3,IF(K363&gt;=Parametri!$B$4,2,1))</f>
      </c>
      <c r="M363" t="s">
        <v>28</v>
      </c>
      <c r="N363" t="s">
        <v>29</v>
      </c>
    </row>
    <row r="364" spans="1:14" x14ac:dyDescent="0.25">
      <c r="A364" s="5" t="s">
        <v>641</v>
      </c>
      <c r="B364" s="5" t="s">
        <v>812</v>
      </c>
      <c r="C364" s="5" t="s">
        <v>25</v>
      </c>
      <c r="D364" s="5" t="s">
        <v>815</v>
      </c>
      <c r="E364" s="5" t="s">
        <v>816</v>
      </c>
      <c r="F364" s="5">
        <v>4</v>
      </c>
      <c r="G364" s="5">
        <v>8</v>
      </c>
      <c r="H364" s="5">
        <v>12</v>
      </c>
      <c r="I364" s="6">
        <v>0</v>
      </c>
      <c r="J364" s="6">
        <v>0</v>
      </c>
      <c r="K364" s="6">
        <f>Parametri!$B$6*I364+Parametri!$B$7*J364</f>
      </c>
      <c r="L364" s="5">
        <f>IF(K364&gt;=Parametri!$B$3,3,IF(K364&gt;=Parametri!$B$4,2,1))</f>
      </c>
      <c r="M364" s="5" t="s">
        <v>28</v>
      </c>
      <c r="N364" s="5" t="s">
        <v>29</v>
      </c>
    </row>
    <row r="365" spans="1:14" x14ac:dyDescent="0.25">
      <c r="A365" t="s">
        <v>641</v>
      </c>
      <c r="B365" t="s">
        <v>817</v>
      </c>
      <c r="C365" t="s">
        <v>25</v>
      </c>
      <c r="D365" t="s">
        <v>818</v>
      </c>
      <c r="E365" t="s">
        <v>819</v>
      </c>
      <c r="F365">
        <v>6</v>
      </c>
      <c r="G365">
        <v>2</v>
      </c>
      <c r="H365">
        <v>8</v>
      </c>
      <c r="I365" s="7">
        <v>1</v>
      </c>
      <c r="J365" s="7">
        <v>0</v>
      </c>
      <c r="K365" s="7">
        <f>Parametri!$B$6*I365+Parametri!$B$7*J365</f>
      </c>
      <c r="L365">
        <f>IF(K365&gt;=Parametri!$B$3,3,IF(K365&gt;=Parametri!$B$4,2,1))</f>
      </c>
      <c r="M365" t="s">
        <v>28</v>
      </c>
      <c r="N365" t="s">
        <v>29</v>
      </c>
    </row>
    <row r="366" spans="1:14" x14ac:dyDescent="0.25">
      <c r="A366" s="5" t="s">
        <v>641</v>
      </c>
      <c r="B366" s="5" t="s">
        <v>817</v>
      </c>
      <c r="C366" s="5" t="s">
        <v>25</v>
      </c>
      <c r="D366" s="5" t="s">
        <v>820</v>
      </c>
      <c r="E366" s="5" t="s">
        <v>821</v>
      </c>
      <c r="F366" s="5">
        <v>6</v>
      </c>
      <c r="G366" s="5">
        <v>1</v>
      </c>
      <c r="H366" s="5">
        <v>7</v>
      </c>
      <c r="I366" s="6">
        <v>1</v>
      </c>
      <c r="J366" s="6">
        <v>1</v>
      </c>
      <c r="K366" s="6">
        <f>Parametri!$B$6*I366+Parametri!$B$7*J366</f>
      </c>
      <c r="L366" s="5">
        <f>IF(K366&gt;=Parametri!$B$3,3,IF(K366&gt;=Parametri!$B$4,2,1))</f>
      </c>
      <c r="M366" s="5" t="s">
        <v>28</v>
      </c>
      <c r="N366" s="5" t="s">
        <v>29</v>
      </c>
    </row>
    <row r="367" spans="1:14" x14ac:dyDescent="0.25">
      <c r="A367" t="s">
        <v>641</v>
      </c>
      <c r="B367" t="s">
        <v>822</v>
      </c>
      <c r="C367" t="s">
        <v>25</v>
      </c>
      <c r="D367" t="s">
        <v>823</v>
      </c>
      <c r="E367" t="s">
        <v>824</v>
      </c>
      <c r="F367">
        <v>11</v>
      </c>
      <c r="G367">
        <v>0</v>
      </c>
      <c r="H367">
        <v>11</v>
      </c>
      <c r="I367" s="7">
        <v>1</v>
      </c>
      <c r="J367" s="7">
        <v>1</v>
      </c>
      <c r="K367" s="7">
        <f>Parametri!$B$6*I367+Parametri!$B$7*J367</f>
      </c>
      <c r="L367">
        <f>IF(K367&gt;=Parametri!$B$3,3,IF(K367&gt;=Parametri!$B$4,2,1))</f>
      </c>
      <c r="M367" t="s">
        <v>28</v>
      </c>
      <c r="N367" t="s">
        <v>29</v>
      </c>
    </row>
    <row r="368" spans="1:14" x14ac:dyDescent="0.25">
      <c r="A368" s="5" t="s">
        <v>641</v>
      </c>
      <c r="B368" s="5" t="s">
        <v>822</v>
      </c>
      <c r="C368" s="5" t="s">
        <v>25</v>
      </c>
      <c r="D368" s="5" t="s">
        <v>825</v>
      </c>
      <c r="E368" s="5" t="s">
        <v>826</v>
      </c>
      <c r="F368" s="5">
        <v>8</v>
      </c>
      <c r="G368" s="5">
        <v>5</v>
      </c>
      <c r="H368" s="5">
        <v>13</v>
      </c>
      <c r="I368" s="6">
        <v>0</v>
      </c>
      <c r="J368" s="6">
        <v>0</v>
      </c>
      <c r="K368" s="6">
        <f>Parametri!$B$6*I368+Parametri!$B$7*J368</f>
      </c>
      <c r="L368" s="5">
        <f>IF(K368&gt;=Parametri!$B$3,3,IF(K368&gt;=Parametri!$B$4,2,1))</f>
      </c>
      <c r="M368" s="5" t="s">
        <v>28</v>
      </c>
      <c r="N368" s="5" t="s">
        <v>29</v>
      </c>
    </row>
    <row r="369" spans="1:14" x14ac:dyDescent="0.25">
      <c r="A369" t="s">
        <v>641</v>
      </c>
      <c r="B369" t="s">
        <v>822</v>
      </c>
      <c r="C369" t="s">
        <v>25</v>
      </c>
      <c r="D369" t="s">
        <v>827</v>
      </c>
      <c r="E369" t="s">
        <v>828</v>
      </c>
      <c r="F369">
        <v>6</v>
      </c>
      <c r="G369">
        <v>1</v>
      </c>
      <c r="H369">
        <v>7</v>
      </c>
      <c r="I369" s="7">
        <v>1</v>
      </c>
      <c r="J369" s="7">
        <v>1</v>
      </c>
      <c r="K369" s="7">
        <f>Parametri!$B$6*I369+Parametri!$B$7*J369</f>
      </c>
      <c r="L369">
        <f>IF(K369&gt;=Parametri!$B$3,3,IF(K369&gt;=Parametri!$B$4,2,1))</f>
      </c>
      <c r="M369" t="s">
        <v>28</v>
      </c>
      <c r="N369" t="s">
        <v>29</v>
      </c>
    </row>
    <row r="370" spans="1:14" x14ac:dyDescent="0.25">
      <c r="A370" s="5" t="s">
        <v>641</v>
      </c>
      <c r="B370" s="5" t="s">
        <v>822</v>
      </c>
      <c r="C370" s="5" t="s">
        <v>25</v>
      </c>
      <c r="D370" s="5" t="s">
        <v>829</v>
      </c>
      <c r="E370" s="5" t="s">
        <v>826</v>
      </c>
      <c r="F370" s="5">
        <v>6</v>
      </c>
      <c r="G370" s="5">
        <v>2</v>
      </c>
      <c r="H370" s="5">
        <v>8</v>
      </c>
      <c r="I370" s="6">
        <v>1</v>
      </c>
      <c r="J370" s="6">
        <v>0</v>
      </c>
      <c r="K370" s="6">
        <f>Parametri!$B$6*I370+Parametri!$B$7*J370</f>
      </c>
      <c r="L370" s="5">
        <f>IF(K370&gt;=Parametri!$B$3,3,IF(K370&gt;=Parametri!$B$4,2,1))</f>
      </c>
      <c r="M370" s="5" t="s">
        <v>28</v>
      </c>
      <c r="N370" s="5" t="s">
        <v>29</v>
      </c>
    </row>
    <row r="371" spans="1:14" x14ac:dyDescent="0.25">
      <c r="A371" t="s">
        <v>641</v>
      </c>
      <c r="B371" t="s">
        <v>822</v>
      </c>
      <c r="C371" t="s">
        <v>25</v>
      </c>
      <c r="D371" t="s">
        <v>830</v>
      </c>
      <c r="E371" t="s">
        <v>831</v>
      </c>
      <c r="F371">
        <v>7</v>
      </c>
      <c r="G371">
        <v>1</v>
      </c>
      <c r="H371">
        <v>8</v>
      </c>
      <c r="I371" s="7">
        <v>0</v>
      </c>
      <c r="J371" s="7">
        <v>1</v>
      </c>
      <c r="K371" s="7">
        <f>Parametri!$B$6*I371+Parametri!$B$7*J371</f>
      </c>
      <c r="L371">
        <f>IF(K371&gt;=Parametri!$B$3,3,IF(K371&gt;=Parametri!$B$4,2,1))</f>
      </c>
      <c r="M371" t="s">
        <v>28</v>
      </c>
      <c r="N371" t="s">
        <v>29</v>
      </c>
    </row>
    <row r="372" spans="1:14" x14ac:dyDescent="0.25">
      <c r="A372" s="5" t="s">
        <v>641</v>
      </c>
      <c r="B372" s="5" t="s">
        <v>822</v>
      </c>
      <c r="C372" s="5" t="s">
        <v>25</v>
      </c>
      <c r="D372" s="5" t="s">
        <v>832</v>
      </c>
      <c r="E372" s="5" t="s">
        <v>833</v>
      </c>
      <c r="F372" s="5">
        <v>8</v>
      </c>
      <c r="G372" s="5">
        <v>2</v>
      </c>
      <c r="H372" s="5">
        <v>10</v>
      </c>
      <c r="I372" s="6">
        <v>1</v>
      </c>
      <c r="J372" s="6">
        <v>0</v>
      </c>
      <c r="K372" s="6">
        <f>Parametri!$B$6*I372+Parametri!$B$7*J372</f>
      </c>
      <c r="L372" s="5">
        <f>IF(K372&gt;=Parametri!$B$3,3,IF(K372&gt;=Parametri!$B$4,2,1))</f>
      </c>
      <c r="M372" s="5" t="s">
        <v>28</v>
      </c>
      <c r="N372" s="5" t="s">
        <v>29</v>
      </c>
    </row>
    <row r="373" spans="1:14" x14ac:dyDescent="0.25">
      <c r="A373" t="s">
        <v>641</v>
      </c>
      <c r="B373" t="s">
        <v>822</v>
      </c>
      <c r="C373" t="s">
        <v>25</v>
      </c>
      <c r="D373" t="s">
        <v>834</v>
      </c>
      <c r="E373" t="s">
        <v>835</v>
      </c>
      <c r="F373">
        <v>6</v>
      </c>
      <c r="G373">
        <v>8</v>
      </c>
      <c r="H373">
        <v>14</v>
      </c>
      <c r="I373" s="7">
        <v>1</v>
      </c>
      <c r="J373" s="7">
        <v>0</v>
      </c>
      <c r="K373" s="7">
        <f>Parametri!$B$6*I373+Parametri!$B$7*J373</f>
      </c>
      <c r="L373">
        <f>IF(K373&gt;=Parametri!$B$3,3,IF(K373&gt;=Parametri!$B$4,2,1))</f>
      </c>
      <c r="M373" t="s">
        <v>28</v>
      </c>
      <c r="N373" t="s">
        <v>29</v>
      </c>
    </row>
    <row r="374" spans="1:14" x14ac:dyDescent="0.25">
      <c r="A374" s="5" t="s">
        <v>641</v>
      </c>
      <c r="B374" s="5" t="s">
        <v>822</v>
      </c>
      <c r="C374" s="5" t="s">
        <v>25</v>
      </c>
      <c r="D374" s="5" t="s">
        <v>836</v>
      </c>
      <c r="E374" s="5" t="s">
        <v>837</v>
      </c>
      <c r="F374" s="5">
        <v>6</v>
      </c>
      <c r="G374" s="5">
        <v>2</v>
      </c>
      <c r="H374" s="5">
        <v>8</v>
      </c>
      <c r="I374" s="6">
        <v>1</v>
      </c>
      <c r="J374" s="6">
        <v>1</v>
      </c>
      <c r="K374" s="6">
        <f>Parametri!$B$6*I374+Parametri!$B$7*J374</f>
      </c>
      <c r="L374" s="5">
        <f>IF(K374&gt;=Parametri!$B$3,3,IF(K374&gt;=Parametri!$B$4,2,1))</f>
      </c>
      <c r="M374" s="5" t="s">
        <v>28</v>
      </c>
      <c r="N374" s="5" t="s">
        <v>29</v>
      </c>
    </row>
    <row r="375" spans="1:14" x14ac:dyDescent="0.25">
      <c r="A375" t="s">
        <v>641</v>
      </c>
      <c r="B375" t="s">
        <v>838</v>
      </c>
      <c r="C375" t="s">
        <v>25</v>
      </c>
      <c r="D375" t="s">
        <v>839</v>
      </c>
      <c r="E375" t="s">
        <v>840</v>
      </c>
      <c r="F375">
        <v>5</v>
      </c>
      <c r="G375">
        <v>5</v>
      </c>
      <c r="H375">
        <v>10</v>
      </c>
      <c r="I375" s="7">
        <v>0</v>
      </c>
      <c r="J375" s="7">
        <v>0</v>
      </c>
      <c r="K375" s="7">
        <f>Parametri!$B$6*I375+Parametri!$B$7*J375</f>
      </c>
      <c r="L375">
        <f>IF(K375&gt;=Parametri!$B$3,3,IF(K375&gt;=Parametri!$B$4,2,1))</f>
      </c>
      <c r="M375" t="s">
        <v>28</v>
      </c>
      <c r="N375" t="s">
        <v>29</v>
      </c>
    </row>
    <row r="376" spans="1:14" x14ac:dyDescent="0.25">
      <c r="A376" s="5" t="s">
        <v>641</v>
      </c>
      <c r="B376" s="5" t="s">
        <v>838</v>
      </c>
      <c r="C376" s="5" t="s">
        <v>25</v>
      </c>
      <c r="D376" s="5" t="s">
        <v>841</v>
      </c>
      <c r="E376" s="5" t="s">
        <v>842</v>
      </c>
      <c r="F376" s="5">
        <v>6</v>
      </c>
      <c r="G376" s="5">
        <v>4</v>
      </c>
      <c r="H376" s="5">
        <v>10</v>
      </c>
      <c r="I376" s="6">
        <v>1</v>
      </c>
      <c r="J376" s="6">
        <v>1</v>
      </c>
      <c r="K376" s="6">
        <f>Parametri!$B$6*I376+Parametri!$B$7*J376</f>
      </c>
      <c r="L376" s="5">
        <f>IF(K376&gt;=Parametri!$B$3,3,IF(K376&gt;=Parametri!$B$4,2,1))</f>
      </c>
      <c r="M376" s="5" t="s">
        <v>28</v>
      </c>
      <c r="N376" s="5" t="s">
        <v>29</v>
      </c>
    </row>
    <row r="377" spans="1:14" x14ac:dyDescent="0.25">
      <c r="A377" t="s">
        <v>641</v>
      </c>
      <c r="B377" t="s">
        <v>843</v>
      </c>
      <c r="C377" t="s">
        <v>25</v>
      </c>
      <c r="D377" t="s">
        <v>844</v>
      </c>
      <c r="E377" t="s">
        <v>845</v>
      </c>
      <c r="F377">
        <v>9</v>
      </c>
      <c r="G377">
        <v>1</v>
      </c>
      <c r="H377">
        <v>10</v>
      </c>
      <c r="I377" s="7">
        <v>0</v>
      </c>
      <c r="J377" s="7">
        <v>0</v>
      </c>
      <c r="K377" s="7">
        <f>Parametri!$B$6*I377+Parametri!$B$7*J377</f>
      </c>
      <c r="L377">
        <f>IF(K377&gt;=Parametri!$B$3,3,IF(K377&gt;=Parametri!$B$4,2,1))</f>
      </c>
      <c r="M377" t="s">
        <v>28</v>
      </c>
      <c r="N377" t="s">
        <v>29</v>
      </c>
    </row>
    <row r="378" spans="1:14" x14ac:dyDescent="0.25">
      <c r="A378" s="5" t="s">
        <v>641</v>
      </c>
      <c r="B378" s="5" t="s">
        <v>843</v>
      </c>
      <c r="C378" s="5" t="s">
        <v>25</v>
      </c>
      <c r="D378" s="5" t="s">
        <v>846</v>
      </c>
      <c r="E378" s="5" t="s">
        <v>847</v>
      </c>
      <c r="F378" s="5">
        <v>10</v>
      </c>
      <c r="G378" s="5">
        <v>1</v>
      </c>
      <c r="H378" s="5">
        <v>11</v>
      </c>
      <c r="I378" s="6">
        <v>1</v>
      </c>
      <c r="J378" s="6">
        <v>0</v>
      </c>
      <c r="K378" s="6">
        <f>Parametri!$B$6*I378+Parametri!$B$7*J378</f>
      </c>
      <c r="L378" s="5">
        <f>IF(K378&gt;=Parametri!$B$3,3,IF(K378&gt;=Parametri!$B$4,2,1))</f>
      </c>
      <c r="M378" s="5" t="s">
        <v>28</v>
      </c>
      <c r="N378" s="5" t="s">
        <v>29</v>
      </c>
    </row>
    <row r="379" spans="1:14" x14ac:dyDescent="0.25">
      <c r="A379" t="s">
        <v>641</v>
      </c>
      <c r="B379" t="s">
        <v>848</v>
      </c>
      <c r="C379" t="s">
        <v>75</v>
      </c>
      <c r="D379" t="s">
        <v>849</v>
      </c>
      <c r="E379" t="s">
        <v>850</v>
      </c>
      <c r="F379">
        <v>20</v>
      </c>
      <c r="G379">
        <v>5</v>
      </c>
      <c r="H379">
        <v>25</v>
      </c>
      <c r="I379" s="7">
        <v>1</v>
      </c>
      <c r="J379" s="7">
        <v>0.6956521739130435</v>
      </c>
      <c r="K379" s="7">
        <f>Parametri!$B$6*I379+Parametri!$B$7*J379</f>
      </c>
      <c r="L379">
        <f>IF(K379&gt;=Parametri!$B$3,3,IF(K379&gt;=Parametri!$B$4,2,1))</f>
      </c>
      <c r="M379" t="s">
        <v>28</v>
      </c>
      <c r="N379" t="s">
        <v>29</v>
      </c>
    </row>
    <row r="380" spans="1:14" x14ac:dyDescent="0.25">
      <c r="A380" s="5" t="s">
        <v>641</v>
      </c>
      <c r="B380" s="5" t="s">
        <v>848</v>
      </c>
      <c r="C380" s="5" t="s">
        <v>75</v>
      </c>
      <c r="D380" s="5" t="s">
        <v>851</v>
      </c>
      <c r="E380" s="5" t="s">
        <v>852</v>
      </c>
      <c r="F380" s="5">
        <v>15</v>
      </c>
      <c r="G380" s="5">
        <v>14</v>
      </c>
      <c r="H380" s="5">
        <v>29</v>
      </c>
      <c r="I380" s="6">
        <v>0.7391304347826086</v>
      </c>
      <c r="J380" s="6">
        <v>0.21739130434782605</v>
      </c>
      <c r="K380" s="6">
        <f>Parametri!$B$6*I380+Parametri!$B$7*J380</f>
      </c>
      <c r="L380" s="5">
        <f>IF(K380&gt;=Parametri!$B$3,3,IF(K380&gt;=Parametri!$B$4,2,1))</f>
      </c>
      <c r="M380" s="5" t="s">
        <v>28</v>
      </c>
      <c r="N380" s="5" t="s">
        <v>29</v>
      </c>
    </row>
    <row r="381" spans="1:14" x14ac:dyDescent="0.25">
      <c r="A381" t="s">
        <v>641</v>
      </c>
      <c r="B381" t="s">
        <v>848</v>
      </c>
      <c r="C381" t="s">
        <v>75</v>
      </c>
      <c r="D381" t="s">
        <v>853</v>
      </c>
      <c r="E381" t="s">
        <v>354</v>
      </c>
      <c r="F381">
        <v>15</v>
      </c>
      <c r="G381">
        <v>4</v>
      </c>
      <c r="H381">
        <v>19</v>
      </c>
      <c r="I381" s="7">
        <v>0.7391304347826086</v>
      </c>
      <c r="J381" s="7">
        <v>0.7391304347826086</v>
      </c>
      <c r="K381" s="7">
        <f>Parametri!$B$6*I381+Parametri!$B$7*J381</f>
      </c>
      <c r="L381">
        <f>IF(K381&gt;=Parametri!$B$3,3,IF(K381&gt;=Parametri!$B$4,2,1))</f>
      </c>
      <c r="M381" t="s">
        <v>28</v>
      </c>
      <c r="N381" t="s">
        <v>29</v>
      </c>
    </row>
    <row r="382" spans="1:14" x14ac:dyDescent="0.25">
      <c r="A382" s="5" t="s">
        <v>641</v>
      </c>
      <c r="B382" s="5" t="s">
        <v>848</v>
      </c>
      <c r="C382" s="5" t="s">
        <v>75</v>
      </c>
      <c r="D382" s="5" t="s">
        <v>854</v>
      </c>
      <c r="E382" s="5" t="s">
        <v>366</v>
      </c>
      <c r="F382" s="5">
        <v>13</v>
      </c>
      <c r="G382" s="5">
        <v>6</v>
      </c>
      <c r="H382" s="5">
        <v>19</v>
      </c>
      <c r="I382" s="6">
        <v>0.6521739130434783</v>
      </c>
      <c r="J382" s="6">
        <v>0.6521739130434783</v>
      </c>
      <c r="K382" s="6">
        <f>Parametri!$B$6*I382+Parametri!$B$7*J382</f>
      </c>
      <c r="L382" s="5">
        <f>IF(K382&gt;=Parametri!$B$3,3,IF(K382&gt;=Parametri!$B$4,2,1))</f>
      </c>
      <c r="M382" s="5" t="s">
        <v>28</v>
      </c>
      <c r="N382" s="5" t="s">
        <v>29</v>
      </c>
    </row>
    <row r="383" spans="1:14" x14ac:dyDescent="0.25">
      <c r="A383" t="s">
        <v>641</v>
      </c>
      <c r="B383" t="s">
        <v>848</v>
      </c>
      <c r="C383" t="s">
        <v>75</v>
      </c>
      <c r="D383" t="s">
        <v>855</v>
      </c>
      <c r="E383" t="s">
        <v>856</v>
      </c>
      <c r="F383">
        <v>19</v>
      </c>
      <c r="G383">
        <v>3</v>
      </c>
      <c r="H383">
        <v>22</v>
      </c>
      <c r="I383" s="7">
        <v>0.8695652173913043</v>
      </c>
      <c r="J383" s="7">
        <v>0.782608695652174</v>
      </c>
      <c r="K383" s="7">
        <f>Parametri!$B$6*I383+Parametri!$B$7*J383</f>
      </c>
      <c r="L383">
        <f>IF(K383&gt;=Parametri!$B$3,3,IF(K383&gt;=Parametri!$B$4,2,1))</f>
      </c>
      <c r="M383" t="s">
        <v>28</v>
      </c>
      <c r="N383" t="s">
        <v>29</v>
      </c>
    </row>
    <row r="384" spans="1:14" x14ac:dyDescent="0.25">
      <c r="A384" s="5" t="s">
        <v>641</v>
      </c>
      <c r="B384" s="5" t="s">
        <v>848</v>
      </c>
      <c r="C384" s="5" t="s">
        <v>75</v>
      </c>
      <c r="D384" s="5" t="s">
        <v>857</v>
      </c>
      <c r="E384" s="5" t="s">
        <v>858</v>
      </c>
      <c r="F384" s="5">
        <v>10</v>
      </c>
      <c r="G384" s="5">
        <v>7</v>
      </c>
      <c r="H384" s="5">
        <v>17</v>
      </c>
      <c r="I384" s="6">
        <v>0.34782608695652173</v>
      </c>
      <c r="J384" s="6">
        <v>0.6086956521739131</v>
      </c>
      <c r="K384" s="6">
        <f>Parametri!$B$6*I384+Parametri!$B$7*J384</f>
      </c>
      <c r="L384" s="5">
        <f>IF(K384&gt;=Parametri!$B$3,3,IF(K384&gt;=Parametri!$B$4,2,1))</f>
      </c>
      <c r="M384" s="5" t="s">
        <v>28</v>
      </c>
      <c r="N384" s="5" t="s">
        <v>29</v>
      </c>
    </row>
    <row r="385" spans="1:14" x14ac:dyDescent="0.25">
      <c r="A385" t="s">
        <v>641</v>
      </c>
      <c r="B385" t="s">
        <v>848</v>
      </c>
      <c r="C385" t="s">
        <v>75</v>
      </c>
      <c r="D385" t="s">
        <v>859</v>
      </c>
      <c r="E385" t="s">
        <v>860</v>
      </c>
      <c r="F385">
        <v>8</v>
      </c>
      <c r="G385">
        <v>15</v>
      </c>
      <c r="H385">
        <v>23</v>
      </c>
      <c r="I385" s="7">
        <v>0.17391304347826086</v>
      </c>
      <c r="J385" s="7">
        <v>0.13043478260869568</v>
      </c>
      <c r="K385" s="7">
        <f>Parametri!$B$6*I385+Parametri!$B$7*J385</f>
      </c>
      <c r="L385">
        <f>IF(K385&gt;=Parametri!$B$3,3,IF(K385&gt;=Parametri!$B$4,2,1))</f>
      </c>
      <c r="M385" t="s">
        <v>28</v>
      </c>
      <c r="N385" t="s">
        <v>29</v>
      </c>
    </row>
    <row r="386" spans="1:14" x14ac:dyDescent="0.25">
      <c r="A386" s="5" t="s">
        <v>641</v>
      </c>
      <c r="B386" s="5" t="s">
        <v>848</v>
      </c>
      <c r="C386" s="5" t="s">
        <v>75</v>
      </c>
      <c r="D386" s="5" t="s">
        <v>861</v>
      </c>
      <c r="E386" s="5" t="s">
        <v>862</v>
      </c>
      <c r="F386" s="5">
        <v>16</v>
      </c>
      <c r="G386" s="5">
        <v>1</v>
      </c>
      <c r="H386" s="5">
        <v>17</v>
      </c>
      <c r="I386" s="6">
        <v>0.782608695652174</v>
      </c>
      <c r="J386" s="6">
        <v>0.9130434782608696</v>
      </c>
      <c r="K386" s="6">
        <f>Parametri!$B$6*I386+Parametri!$B$7*J386</f>
      </c>
      <c r="L386" s="5">
        <f>IF(K386&gt;=Parametri!$B$3,3,IF(K386&gt;=Parametri!$B$4,2,1))</f>
      </c>
      <c r="M386" s="5" t="s">
        <v>28</v>
      </c>
      <c r="N386" s="5" t="s">
        <v>29</v>
      </c>
    </row>
    <row r="387" spans="1:14" x14ac:dyDescent="0.25">
      <c r="A387" t="s">
        <v>641</v>
      </c>
      <c r="B387" t="s">
        <v>848</v>
      </c>
      <c r="C387" t="s">
        <v>75</v>
      </c>
      <c r="D387" t="s">
        <v>863</v>
      </c>
      <c r="E387" t="s">
        <v>864</v>
      </c>
      <c r="F387">
        <v>13</v>
      </c>
      <c r="G387">
        <v>8</v>
      </c>
      <c r="H387">
        <v>21</v>
      </c>
      <c r="I387" s="7">
        <v>0.6521739130434783</v>
      </c>
      <c r="J387" s="7">
        <v>0.5217391304347826</v>
      </c>
      <c r="K387" s="7">
        <f>Parametri!$B$6*I387+Parametri!$B$7*J387</f>
      </c>
      <c r="L387">
        <f>IF(K387&gt;=Parametri!$B$3,3,IF(K387&gt;=Parametri!$B$4,2,1))</f>
      </c>
      <c r="M387" t="s">
        <v>28</v>
      </c>
      <c r="N387" t="s">
        <v>29</v>
      </c>
    </row>
    <row r="388" spans="1:14" x14ac:dyDescent="0.25">
      <c r="A388" s="5" t="s">
        <v>641</v>
      </c>
      <c r="B388" s="5" t="s">
        <v>848</v>
      </c>
      <c r="C388" s="5" t="s">
        <v>75</v>
      </c>
      <c r="D388" s="5" t="s">
        <v>865</v>
      </c>
      <c r="E388" s="5" t="s">
        <v>866</v>
      </c>
      <c r="F388" s="5">
        <v>11</v>
      </c>
      <c r="G388" s="5">
        <v>12</v>
      </c>
      <c r="H388" s="5">
        <v>23</v>
      </c>
      <c r="I388" s="6">
        <v>0.5217391304347826</v>
      </c>
      <c r="J388" s="6">
        <v>0.30434782608695654</v>
      </c>
      <c r="K388" s="6">
        <f>Parametri!$B$6*I388+Parametri!$B$7*J388</f>
      </c>
      <c r="L388" s="5">
        <f>IF(K388&gt;=Parametri!$B$3,3,IF(K388&gt;=Parametri!$B$4,2,1))</f>
      </c>
      <c r="M388" s="5" t="s">
        <v>28</v>
      </c>
      <c r="N388" s="5" t="s">
        <v>29</v>
      </c>
    </row>
    <row r="389" spans="1:14" x14ac:dyDescent="0.25">
      <c r="A389" t="s">
        <v>641</v>
      </c>
      <c r="B389" t="s">
        <v>848</v>
      </c>
      <c r="C389" t="s">
        <v>75</v>
      </c>
      <c r="D389" t="s">
        <v>867</v>
      </c>
      <c r="E389" t="s">
        <v>868</v>
      </c>
      <c r="F389">
        <v>10</v>
      </c>
      <c r="G389">
        <v>11</v>
      </c>
      <c r="H389">
        <v>21</v>
      </c>
      <c r="I389" s="7">
        <v>0.34782608695652173</v>
      </c>
      <c r="J389" s="7">
        <v>0.34782608695652173</v>
      </c>
      <c r="K389" s="7">
        <f>Parametri!$B$6*I389+Parametri!$B$7*J389</f>
      </c>
      <c r="L389">
        <f>IF(K389&gt;=Parametri!$B$3,3,IF(K389&gt;=Parametri!$B$4,2,1))</f>
      </c>
      <c r="M389" t="s">
        <v>28</v>
      </c>
      <c r="N389" t="s">
        <v>29</v>
      </c>
    </row>
    <row r="390" spans="1:14" x14ac:dyDescent="0.25">
      <c r="A390" s="5" t="s">
        <v>641</v>
      </c>
      <c r="B390" s="5" t="s">
        <v>848</v>
      </c>
      <c r="C390" s="5" t="s">
        <v>75</v>
      </c>
      <c r="D390" s="5" t="s">
        <v>869</v>
      </c>
      <c r="E390" s="5" t="s">
        <v>870</v>
      </c>
      <c r="F390" s="5">
        <v>7</v>
      </c>
      <c r="G390" s="5">
        <v>15</v>
      </c>
      <c r="H390" s="5">
        <v>22</v>
      </c>
      <c r="I390" s="6">
        <v>0</v>
      </c>
      <c r="J390" s="6">
        <v>0.13043478260869568</v>
      </c>
      <c r="K390" s="6">
        <f>Parametri!$B$6*I390+Parametri!$B$7*J390</f>
      </c>
      <c r="L390" s="5">
        <f>IF(K390&gt;=Parametri!$B$3,3,IF(K390&gt;=Parametri!$B$4,2,1))</f>
      </c>
      <c r="M390" s="5" t="s">
        <v>28</v>
      </c>
      <c r="N390" s="5" t="s">
        <v>29</v>
      </c>
    </row>
    <row r="391" spans="1:14" x14ac:dyDescent="0.25">
      <c r="A391" t="s">
        <v>641</v>
      </c>
      <c r="B391" t="s">
        <v>848</v>
      </c>
      <c r="C391" t="s">
        <v>75</v>
      </c>
      <c r="D391" t="s">
        <v>871</v>
      </c>
      <c r="E391" t="s">
        <v>872</v>
      </c>
      <c r="F391">
        <v>20</v>
      </c>
      <c r="G391">
        <v>1</v>
      </c>
      <c r="H391">
        <v>21</v>
      </c>
      <c r="I391" s="7">
        <v>1</v>
      </c>
      <c r="J391" s="7">
        <v>0.9130434782608696</v>
      </c>
      <c r="K391" s="7">
        <f>Parametri!$B$6*I391+Parametri!$B$7*J391</f>
      </c>
      <c r="L391">
        <f>IF(K391&gt;=Parametri!$B$3,3,IF(K391&gt;=Parametri!$B$4,2,1))</f>
      </c>
      <c r="M391" t="s">
        <v>28</v>
      </c>
      <c r="N391" t="s">
        <v>29</v>
      </c>
    </row>
    <row r="392" spans="1:14" x14ac:dyDescent="0.25">
      <c r="A392" s="5" t="s">
        <v>641</v>
      </c>
      <c r="B392" s="5" t="s">
        <v>848</v>
      </c>
      <c r="C392" s="5" t="s">
        <v>75</v>
      </c>
      <c r="D392" s="5" t="s">
        <v>873</v>
      </c>
      <c r="E392" s="5" t="s">
        <v>356</v>
      </c>
      <c r="F392" s="5">
        <v>11</v>
      </c>
      <c r="G392" s="5">
        <v>8</v>
      </c>
      <c r="H392" s="5">
        <v>19</v>
      </c>
      <c r="I392" s="6">
        <v>0.5217391304347826</v>
      </c>
      <c r="J392" s="6">
        <v>0.5217391304347826</v>
      </c>
      <c r="K392" s="6">
        <f>Parametri!$B$6*I392+Parametri!$B$7*J392</f>
      </c>
      <c r="L392" s="5">
        <f>IF(K392&gt;=Parametri!$B$3,3,IF(K392&gt;=Parametri!$B$4,2,1))</f>
      </c>
      <c r="M392" s="5" t="s">
        <v>28</v>
      </c>
      <c r="N392" s="5" t="s">
        <v>29</v>
      </c>
    </row>
    <row r="393" spans="1:14" x14ac:dyDescent="0.25">
      <c r="A393" t="s">
        <v>641</v>
      </c>
      <c r="B393" t="s">
        <v>848</v>
      </c>
      <c r="C393" t="s">
        <v>75</v>
      </c>
      <c r="D393" t="s">
        <v>874</v>
      </c>
      <c r="E393" t="s">
        <v>875</v>
      </c>
      <c r="F393">
        <v>19</v>
      </c>
      <c r="G393">
        <v>1</v>
      </c>
      <c r="H393">
        <v>20</v>
      </c>
      <c r="I393" s="7">
        <v>0.8695652173913043</v>
      </c>
      <c r="J393" s="7">
        <v>0.9130434782608696</v>
      </c>
      <c r="K393" s="7">
        <f>Parametri!$B$6*I393+Parametri!$B$7*J393</f>
      </c>
      <c r="L393">
        <f>IF(K393&gt;=Parametri!$B$3,3,IF(K393&gt;=Parametri!$B$4,2,1))</f>
      </c>
      <c r="M393" t="s">
        <v>28</v>
      </c>
      <c r="N393" t="s">
        <v>29</v>
      </c>
    </row>
    <row r="394" spans="1:14" x14ac:dyDescent="0.25">
      <c r="A394" s="5" t="s">
        <v>641</v>
      </c>
      <c r="B394" s="5" t="s">
        <v>848</v>
      </c>
      <c r="C394" s="5" t="s">
        <v>75</v>
      </c>
      <c r="D394" s="5" t="s">
        <v>876</v>
      </c>
      <c r="E394" s="5" t="s">
        <v>877</v>
      </c>
      <c r="F394" s="5">
        <v>11</v>
      </c>
      <c r="G394" s="5">
        <v>11</v>
      </c>
      <c r="H394" s="5">
        <v>22</v>
      </c>
      <c r="I394" s="6">
        <v>0.5217391304347826</v>
      </c>
      <c r="J394" s="6">
        <v>0.34782608695652173</v>
      </c>
      <c r="K394" s="6">
        <f>Parametri!$B$6*I394+Parametri!$B$7*J394</f>
      </c>
      <c r="L394" s="5">
        <f>IF(K394&gt;=Parametri!$B$3,3,IF(K394&gt;=Parametri!$B$4,2,1))</f>
      </c>
      <c r="M394" s="5" t="s">
        <v>28</v>
      </c>
      <c r="N394" s="5" t="s">
        <v>29</v>
      </c>
    </row>
    <row r="395" spans="1:14" x14ac:dyDescent="0.25">
      <c r="A395" t="s">
        <v>641</v>
      </c>
      <c r="B395" t="s">
        <v>848</v>
      </c>
      <c r="C395" t="s">
        <v>75</v>
      </c>
      <c r="D395" t="s">
        <v>878</v>
      </c>
      <c r="E395" t="s">
        <v>879</v>
      </c>
      <c r="F395">
        <v>8</v>
      </c>
      <c r="G395">
        <v>18</v>
      </c>
      <c r="H395">
        <v>26</v>
      </c>
      <c r="I395" s="7">
        <v>0.17391304347826086</v>
      </c>
      <c r="J395" s="7">
        <v>0</v>
      </c>
      <c r="K395" s="7">
        <f>Parametri!$B$6*I395+Parametri!$B$7*J395</f>
      </c>
      <c r="L395">
        <f>IF(K395&gt;=Parametri!$B$3,3,IF(K395&gt;=Parametri!$B$4,2,1))</f>
      </c>
      <c r="M395" t="s">
        <v>28</v>
      </c>
      <c r="N395" t="s">
        <v>29</v>
      </c>
    </row>
    <row r="396" spans="1:14" x14ac:dyDescent="0.25">
      <c r="A396" s="5" t="s">
        <v>641</v>
      </c>
      <c r="B396" s="5" t="s">
        <v>848</v>
      </c>
      <c r="C396" s="5" t="s">
        <v>75</v>
      </c>
      <c r="D396" s="5" t="s">
        <v>880</v>
      </c>
      <c r="E396" s="5" t="s">
        <v>881</v>
      </c>
      <c r="F396" s="5">
        <v>10</v>
      </c>
      <c r="G396" s="5">
        <v>9</v>
      </c>
      <c r="H396" s="5">
        <v>19</v>
      </c>
      <c r="I396" s="6">
        <v>0.34782608695652173</v>
      </c>
      <c r="J396" s="6">
        <v>0.4782608695652174</v>
      </c>
      <c r="K396" s="6">
        <f>Parametri!$B$6*I396+Parametri!$B$7*J396</f>
      </c>
      <c r="L396" s="5">
        <f>IF(K396&gt;=Parametri!$B$3,3,IF(K396&gt;=Parametri!$B$4,2,1))</f>
      </c>
      <c r="M396" s="5" t="s">
        <v>28</v>
      </c>
      <c r="N396" s="5" t="s">
        <v>29</v>
      </c>
    </row>
    <row r="397" spans="1:14" x14ac:dyDescent="0.25">
      <c r="A397" t="s">
        <v>641</v>
      </c>
      <c r="B397" t="s">
        <v>848</v>
      </c>
      <c r="C397" t="s">
        <v>75</v>
      </c>
      <c r="D397" t="s">
        <v>882</v>
      </c>
      <c r="E397" t="s">
        <v>370</v>
      </c>
      <c r="F397">
        <v>9</v>
      </c>
      <c r="G397">
        <v>16</v>
      </c>
      <c r="H397">
        <v>25</v>
      </c>
      <c r="I397" s="7">
        <v>0.21739130434782608</v>
      </c>
      <c r="J397" s="7">
        <v>0.08695652173913049</v>
      </c>
      <c r="K397" s="7">
        <f>Parametri!$B$6*I397+Parametri!$B$7*J397</f>
      </c>
      <c r="L397">
        <f>IF(K397&gt;=Parametri!$B$3,3,IF(K397&gt;=Parametri!$B$4,2,1))</f>
      </c>
      <c r="M397" t="s">
        <v>28</v>
      </c>
      <c r="N397" t="s">
        <v>29</v>
      </c>
    </row>
    <row r="398" spans="1:14" x14ac:dyDescent="0.25">
      <c r="A398" s="5" t="s">
        <v>641</v>
      </c>
      <c r="B398" s="5" t="s">
        <v>848</v>
      </c>
      <c r="C398" s="5" t="s">
        <v>75</v>
      </c>
      <c r="D398" s="5" t="s">
        <v>883</v>
      </c>
      <c r="E398" s="5" t="s">
        <v>884</v>
      </c>
      <c r="F398" s="5">
        <v>11</v>
      </c>
      <c r="G398" s="5">
        <v>10</v>
      </c>
      <c r="H398" s="5">
        <v>21</v>
      </c>
      <c r="I398" s="6">
        <v>0.5217391304347826</v>
      </c>
      <c r="J398" s="6">
        <v>0.4347826086956522</v>
      </c>
      <c r="K398" s="6">
        <f>Parametri!$B$6*I398+Parametri!$B$7*J398</f>
      </c>
      <c r="L398" s="5">
        <f>IF(K398&gt;=Parametri!$B$3,3,IF(K398&gt;=Parametri!$B$4,2,1))</f>
      </c>
      <c r="M398" s="5" t="s">
        <v>28</v>
      </c>
      <c r="N398" s="5" t="s">
        <v>29</v>
      </c>
    </row>
    <row r="399" spans="1:14" x14ac:dyDescent="0.25">
      <c r="A399" t="s">
        <v>641</v>
      </c>
      <c r="B399" t="s">
        <v>848</v>
      </c>
      <c r="C399" t="s">
        <v>75</v>
      </c>
      <c r="D399" t="s">
        <v>885</v>
      </c>
      <c r="E399" t="s">
        <v>886</v>
      </c>
      <c r="F399">
        <v>8</v>
      </c>
      <c r="G399">
        <v>17</v>
      </c>
      <c r="H399">
        <v>25</v>
      </c>
      <c r="I399" s="7">
        <v>0.17391304347826086</v>
      </c>
      <c r="J399" s="7">
        <v>0.04347826086956519</v>
      </c>
      <c r="K399" s="7">
        <f>Parametri!$B$6*I399+Parametri!$B$7*J399</f>
      </c>
      <c r="L399">
        <f>IF(K399&gt;=Parametri!$B$3,3,IF(K399&gt;=Parametri!$B$4,2,1))</f>
      </c>
      <c r="M399" t="s">
        <v>28</v>
      </c>
      <c r="N399" t="s">
        <v>29</v>
      </c>
    </row>
    <row r="400" spans="1:14" x14ac:dyDescent="0.25">
      <c r="A400" s="5" t="s">
        <v>641</v>
      </c>
      <c r="B400" s="5" t="s">
        <v>848</v>
      </c>
      <c r="C400" s="5" t="s">
        <v>75</v>
      </c>
      <c r="D400" s="5" t="s">
        <v>887</v>
      </c>
      <c r="E400" s="5" t="s">
        <v>888</v>
      </c>
      <c r="F400" s="5">
        <v>12</v>
      </c>
      <c r="G400" s="5">
        <v>3</v>
      </c>
      <c r="H400" s="5">
        <v>15</v>
      </c>
      <c r="I400" s="6">
        <v>0.5652173913043478</v>
      </c>
      <c r="J400" s="6">
        <v>0.782608695652174</v>
      </c>
      <c r="K400" s="6">
        <f>Parametri!$B$6*I400+Parametri!$B$7*J400</f>
      </c>
      <c r="L400" s="5">
        <f>IF(K400&gt;=Parametri!$B$3,3,IF(K400&gt;=Parametri!$B$4,2,1))</f>
      </c>
      <c r="M400" s="5" t="s">
        <v>28</v>
      </c>
      <c r="N400" s="5" t="s">
        <v>29</v>
      </c>
    </row>
    <row r="401" spans="1:14" x14ac:dyDescent="0.25">
      <c r="A401" t="s">
        <v>641</v>
      </c>
      <c r="B401" t="s">
        <v>848</v>
      </c>
      <c r="C401" t="s">
        <v>75</v>
      </c>
      <c r="D401" t="s">
        <v>889</v>
      </c>
      <c r="E401" t="s">
        <v>350</v>
      </c>
      <c r="F401">
        <v>20</v>
      </c>
      <c r="G401">
        <v>3</v>
      </c>
      <c r="H401">
        <v>23</v>
      </c>
      <c r="I401" s="7">
        <v>1</v>
      </c>
      <c r="J401" s="7">
        <v>0.782608695652174</v>
      </c>
      <c r="K401" s="7">
        <f>Parametri!$B$6*I401+Parametri!$B$7*J401</f>
      </c>
      <c r="L401">
        <f>IF(K401&gt;=Parametri!$B$3,3,IF(K401&gt;=Parametri!$B$4,2,1))</f>
      </c>
      <c r="M401" t="s">
        <v>28</v>
      </c>
      <c r="N401" t="s">
        <v>29</v>
      </c>
    </row>
    <row r="402" spans="1:14" x14ac:dyDescent="0.25">
      <c r="A402" s="5" t="s">
        <v>641</v>
      </c>
      <c r="B402" s="5" t="s">
        <v>848</v>
      </c>
      <c r="C402" s="5" t="s">
        <v>75</v>
      </c>
      <c r="D402" s="5" t="s">
        <v>890</v>
      </c>
      <c r="E402" s="5" t="s">
        <v>891</v>
      </c>
      <c r="F402" s="5">
        <v>8</v>
      </c>
      <c r="G402" s="5">
        <v>14</v>
      </c>
      <c r="H402" s="5">
        <v>22</v>
      </c>
      <c r="I402" s="6">
        <v>0.17391304347826086</v>
      </c>
      <c r="J402" s="6">
        <v>0.21739130434782605</v>
      </c>
      <c r="K402" s="6">
        <f>Parametri!$B$6*I402+Parametri!$B$7*J402</f>
      </c>
      <c r="L402" s="5">
        <f>IF(K402&gt;=Parametri!$B$3,3,IF(K402&gt;=Parametri!$B$4,2,1))</f>
      </c>
      <c r="M402" s="5" t="s">
        <v>28</v>
      </c>
      <c r="N402" s="5" t="s">
        <v>29</v>
      </c>
    </row>
    <row r="403" spans="1:14" x14ac:dyDescent="0.25">
      <c r="A403" t="s">
        <v>641</v>
      </c>
      <c r="B403" t="s">
        <v>892</v>
      </c>
      <c r="C403" t="s">
        <v>25</v>
      </c>
      <c r="D403" t="s">
        <v>893</v>
      </c>
      <c r="E403" t="s">
        <v>894</v>
      </c>
      <c r="F403">
        <v>5</v>
      </c>
      <c r="G403">
        <v>1</v>
      </c>
      <c r="H403">
        <v>6</v>
      </c>
      <c r="I403" s="7">
        <v>0</v>
      </c>
      <c r="J403" s="7">
        <v>1</v>
      </c>
      <c r="K403" s="7">
        <f>Parametri!$B$6*I403+Parametri!$B$7*J403</f>
      </c>
      <c r="L403">
        <f>IF(K403&gt;=Parametri!$B$3,3,IF(K403&gt;=Parametri!$B$4,2,1))</f>
      </c>
      <c r="M403" t="s">
        <v>28</v>
      </c>
      <c r="N403" t="s">
        <v>29</v>
      </c>
    </row>
    <row r="404" spans="1:14" x14ac:dyDescent="0.25">
      <c r="A404" s="5" t="s">
        <v>641</v>
      </c>
      <c r="B404" s="5" t="s">
        <v>892</v>
      </c>
      <c r="C404" s="5" t="s">
        <v>25</v>
      </c>
      <c r="D404" s="5" t="s">
        <v>895</v>
      </c>
      <c r="E404" s="5" t="s">
        <v>896</v>
      </c>
      <c r="F404" s="5">
        <v>6</v>
      </c>
      <c r="G404" s="5">
        <v>3</v>
      </c>
      <c r="H404" s="5">
        <v>9</v>
      </c>
      <c r="I404" s="6">
        <v>1</v>
      </c>
      <c r="J404" s="6">
        <v>0</v>
      </c>
      <c r="K404" s="6">
        <f>Parametri!$B$6*I404+Parametri!$B$7*J404</f>
      </c>
      <c r="L404" s="5">
        <f>IF(K404&gt;=Parametri!$B$3,3,IF(K404&gt;=Parametri!$B$4,2,1))</f>
      </c>
      <c r="M404" s="5" t="s">
        <v>28</v>
      </c>
      <c r="N404" s="5" t="s">
        <v>29</v>
      </c>
    </row>
    <row r="405" spans="1:14" x14ac:dyDescent="0.25">
      <c r="A405" t="s">
        <v>641</v>
      </c>
      <c r="B405" t="s">
        <v>897</v>
      </c>
      <c r="C405" t="s">
        <v>25</v>
      </c>
      <c r="D405" t="s">
        <v>898</v>
      </c>
      <c r="E405" t="s">
        <v>660</v>
      </c>
      <c r="F405">
        <v>5</v>
      </c>
      <c r="G405">
        <v>5</v>
      </c>
      <c r="H405">
        <v>10</v>
      </c>
      <c r="I405" s="7">
        <v>1</v>
      </c>
      <c r="J405" s="7">
        <v>1</v>
      </c>
      <c r="K405" s="7">
        <f>Parametri!$B$6*I405+Parametri!$B$7*J405</f>
      </c>
      <c r="L405">
        <f>IF(K405&gt;=Parametri!$B$3,3,IF(K405&gt;=Parametri!$B$4,2,1))</f>
      </c>
      <c r="M405" t="s">
        <v>28</v>
      </c>
      <c r="N405" t="s">
        <v>29</v>
      </c>
    </row>
    <row r="406" spans="1:14" x14ac:dyDescent="0.25">
      <c r="A406" s="5" t="s">
        <v>641</v>
      </c>
      <c r="B406" s="5" t="s">
        <v>897</v>
      </c>
      <c r="C406" s="5" t="s">
        <v>25</v>
      </c>
      <c r="D406" s="5" t="s">
        <v>899</v>
      </c>
      <c r="E406" s="5" t="s">
        <v>835</v>
      </c>
      <c r="F406" s="5">
        <v>5</v>
      </c>
      <c r="G406" s="5">
        <v>9</v>
      </c>
      <c r="H406" s="5">
        <v>14</v>
      </c>
      <c r="I406" s="6">
        <v>1</v>
      </c>
      <c r="J406" s="6">
        <v>0</v>
      </c>
      <c r="K406" s="6">
        <f>Parametri!$B$6*I406+Parametri!$B$7*J406</f>
      </c>
      <c r="L406" s="5">
        <f>IF(K406&gt;=Parametri!$B$3,3,IF(K406&gt;=Parametri!$B$4,2,1))</f>
      </c>
      <c r="M406" s="5" t="s">
        <v>28</v>
      </c>
      <c r="N406" s="5" t="s">
        <v>29</v>
      </c>
    </row>
    <row r="407" spans="1:14" x14ac:dyDescent="0.25">
      <c r="A407" t="s">
        <v>641</v>
      </c>
      <c r="B407" t="s">
        <v>900</v>
      </c>
      <c r="C407" t="s">
        <v>25</v>
      </c>
      <c r="D407" t="s">
        <v>901</v>
      </c>
      <c r="E407" t="s">
        <v>737</v>
      </c>
      <c r="F407">
        <v>7</v>
      </c>
      <c r="G407">
        <v>1</v>
      </c>
      <c r="H407">
        <v>8</v>
      </c>
      <c r="I407" s="7">
        <v>1</v>
      </c>
      <c r="J407" s="7">
        <v>0</v>
      </c>
      <c r="K407" s="7">
        <f>Parametri!$B$6*I407+Parametri!$B$7*J407</f>
      </c>
      <c r="L407">
        <f>IF(K407&gt;=Parametri!$B$3,3,IF(K407&gt;=Parametri!$B$4,2,1))</f>
      </c>
      <c r="M407" t="s">
        <v>28</v>
      </c>
      <c r="N407" t="s">
        <v>29</v>
      </c>
    </row>
    <row r="408" spans="1:14" x14ac:dyDescent="0.25">
      <c r="A408" s="5" t="s">
        <v>641</v>
      </c>
      <c r="B408" s="5" t="s">
        <v>900</v>
      </c>
      <c r="C408" s="5" t="s">
        <v>25</v>
      </c>
      <c r="D408" s="5" t="s">
        <v>902</v>
      </c>
      <c r="E408" s="5" t="s">
        <v>735</v>
      </c>
      <c r="F408" s="5">
        <v>7</v>
      </c>
      <c r="G408" s="5">
        <v>1</v>
      </c>
      <c r="H408" s="5">
        <v>8</v>
      </c>
      <c r="I408" s="6">
        <v>1</v>
      </c>
      <c r="J408" s="6">
        <v>0</v>
      </c>
      <c r="K408" s="6">
        <f>Parametri!$B$6*I408+Parametri!$B$7*J408</f>
      </c>
      <c r="L408" s="5">
        <f>IF(K408&gt;=Parametri!$B$3,3,IF(K408&gt;=Parametri!$B$4,2,1))</f>
      </c>
      <c r="M408" s="5" t="s">
        <v>28</v>
      </c>
      <c r="N408" s="5" t="s">
        <v>29</v>
      </c>
    </row>
    <row r="409" spans="1:14" x14ac:dyDescent="0.25">
      <c r="A409" t="s">
        <v>641</v>
      </c>
      <c r="B409" t="s">
        <v>903</v>
      </c>
      <c r="C409" t="s">
        <v>75</v>
      </c>
      <c r="D409" t="s">
        <v>904</v>
      </c>
      <c r="E409" t="s">
        <v>905</v>
      </c>
      <c r="F409">
        <v>14</v>
      </c>
      <c r="G409">
        <v>6</v>
      </c>
      <c r="H409">
        <v>20</v>
      </c>
      <c r="I409" s="7">
        <v>0.5714285714285714</v>
      </c>
      <c r="J409" s="7">
        <v>0.1428571428571429</v>
      </c>
      <c r="K409" s="7">
        <f>Parametri!$B$6*I409+Parametri!$B$7*J409</f>
      </c>
      <c r="L409">
        <f>IF(K409&gt;=Parametri!$B$3,3,IF(K409&gt;=Parametri!$B$4,2,1))</f>
      </c>
      <c r="M409" t="s">
        <v>28</v>
      </c>
      <c r="N409" t="s">
        <v>29</v>
      </c>
    </row>
    <row r="410" spans="1:14" x14ac:dyDescent="0.25">
      <c r="A410" s="5" t="s">
        <v>641</v>
      </c>
      <c r="B410" s="5" t="s">
        <v>903</v>
      </c>
      <c r="C410" s="5" t="s">
        <v>75</v>
      </c>
      <c r="D410" s="5" t="s">
        <v>906</v>
      </c>
      <c r="E410" s="5" t="s">
        <v>907</v>
      </c>
      <c r="F410" s="5">
        <v>15</v>
      </c>
      <c r="G410" s="5">
        <v>5</v>
      </c>
      <c r="H410" s="5">
        <v>20</v>
      </c>
      <c r="I410" s="6">
        <v>0.8571428571428571</v>
      </c>
      <c r="J410" s="6">
        <v>0.2857142857142857</v>
      </c>
      <c r="K410" s="6">
        <f>Parametri!$B$6*I410+Parametri!$B$7*J410</f>
      </c>
      <c r="L410" s="5">
        <f>IF(K410&gt;=Parametri!$B$3,3,IF(K410&gt;=Parametri!$B$4,2,1))</f>
      </c>
      <c r="M410" s="5" t="s">
        <v>28</v>
      </c>
      <c r="N410" s="5" t="s">
        <v>29</v>
      </c>
    </row>
    <row r="411" spans="1:14" x14ac:dyDescent="0.25">
      <c r="A411" t="s">
        <v>641</v>
      </c>
      <c r="B411" t="s">
        <v>903</v>
      </c>
      <c r="C411" t="s">
        <v>75</v>
      </c>
      <c r="D411" t="s">
        <v>908</v>
      </c>
      <c r="E411" t="s">
        <v>909</v>
      </c>
      <c r="F411">
        <v>14</v>
      </c>
      <c r="G411">
        <v>4</v>
      </c>
      <c r="H411">
        <v>18</v>
      </c>
      <c r="I411" s="7">
        <v>0.5714285714285714</v>
      </c>
      <c r="J411" s="7">
        <v>0.5714285714285714</v>
      </c>
      <c r="K411" s="7">
        <f>Parametri!$B$6*I411+Parametri!$B$7*J411</f>
      </c>
      <c r="L411">
        <f>IF(K411&gt;=Parametri!$B$3,3,IF(K411&gt;=Parametri!$B$4,2,1))</f>
      </c>
      <c r="M411" t="s">
        <v>28</v>
      </c>
      <c r="N411" t="s">
        <v>29</v>
      </c>
    </row>
    <row r="412" spans="1:14" x14ac:dyDescent="0.25">
      <c r="A412" s="5" t="s">
        <v>641</v>
      </c>
      <c r="B412" s="5" t="s">
        <v>903</v>
      </c>
      <c r="C412" s="5" t="s">
        <v>75</v>
      </c>
      <c r="D412" s="5" t="s">
        <v>910</v>
      </c>
      <c r="E412" s="5" t="s">
        <v>911</v>
      </c>
      <c r="F412" s="5">
        <v>17</v>
      </c>
      <c r="G412" s="5">
        <v>1</v>
      </c>
      <c r="H412" s="5">
        <v>18</v>
      </c>
      <c r="I412" s="6">
        <v>1</v>
      </c>
      <c r="J412" s="6">
        <v>1</v>
      </c>
      <c r="K412" s="6">
        <f>Parametri!$B$6*I412+Parametri!$B$7*J412</f>
      </c>
      <c r="L412" s="5">
        <f>IF(K412&gt;=Parametri!$B$3,3,IF(K412&gt;=Parametri!$B$4,2,1))</f>
      </c>
      <c r="M412" s="5" t="s">
        <v>28</v>
      </c>
      <c r="N412" s="5" t="s">
        <v>29</v>
      </c>
    </row>
    <row r="413" spans="1:14" x14ac:dyDescent="0.25">
      <c r="A413" t="s">
        <v>641</v>
      </c>
      <c r="B413" t="s">
        <v>903</v>
      </c>
      <c r="C413" t="s">
        <v>75</v>
      </c>
      <c r="D413" t="s">
        <v>912</v>
      </c>
      <c r="E413" t="s">
        <v>913</v>
      </c>
      <c r="F413">
        <v>11</v>
      </c>
      <c r="G413">
        <v>4</v>
      </c>
      <c r="H413">
        <v>15</v>
      </c>
      <c r="I413" s="7">
        <v>0</v>
      </c>
      <c r="J413" s="7">
        <v>0.5714285714285714</v>
      </c>
      <c r="K413" s="7">
        <f>Parametri!$B$6*I413+Parametri!$B$7*J413</f>
      </c>
      <c r="L413">
        <f>IF(K413&gt;=Parametri!$B$3,3,IF(K413&gt;=Parametri!$B$4,2,1))</f>
      </c>
      <c r="M413" t="s">
        <v>28</v>
      </c>
      <c r="N413" t="s">
        <v>29</v>
      </c>
    </row>
    <row r="414" spans="1:14" x14ac:dyDescent="0.25">
      <c r="A414" s="5" t="s">
        <v>641</v>
      </c>
      <c r="B414" s="5" t="s">
        <v>903</v>
      </c>
      <c r="C414" s="5" t="s">
        <v>75</v>
      </c>
      <c r="D414" s="5" t="s">
        <v>914</v>
      </c>
      <c r="E414" s="5" t="s">
        <v>915</v>
      </c>
      <c r="F414" s="5">
        <v>12</v>
      </c>
      <c r="G414" s="5">
        <v>5</v>
      </c>
      <c r="H414" s="5">
        <v>17</v>
      </c>
      <c r="I414" s="6">
        <v>0.14285714285714285</v>
      </c>
      <c r="J414" s="6">
        <v>0.2857142857142857</v>
      </c>
      <c r="K414" s="6">
        <f>Parametri!$B$6*I414+Parametri!$B$7*J414</f>
      </c>
      <c r="L414" s="5">
        <f>IF(K414&gt;=Parametri!$B$3,3,IF(K414&gt;=Parametri!$B$4,2,1))</f>
      </c>
      <c r="M414" s="5" t="s">
        <v>28</v>
      </c>
      <c r="N414" s="5" t="s">
        <v>29</v>
      </c>
    </row>
    <row r="415" spans="1:14" x14ac:dyDescent="0.25">
      <c r="A415" t="s">
        <v>641</v>
      </c>
      <c r="B415" t="s">
        <v>903</v>
      </c>
      <c r="C415" t="s">
        <v>75</v>
      </c>
      <c r="D415" t="s">
        <v>916</v>
      </c>
      <c r="E415" t="s">
        <v>917</v>
      </c>
      <c r="F415">
        <v>14</v>
      </c>
      <c r="G415">
        <v>8</v>
      </c>
      <c r="H415">
        <v>22</v>
      </c>
      <c r="I415" s="7">
        <v>0.5714285714285714</v>
      </c>
      <c r="J415" s="7">
        <v>0</v>
      </c>
      <c r="K415" s="7">
        <f>Parametri!$B$6*I415+Parametri!$B$7*J415</f>
      </c>
      <c r="L415">
        <f>IF(K415&gt;=Parametri!$B$3,3,IF(K415&gt;=Parametri!$B$4,2,1))</f>
      </c>
      <c r="M415" t="s">
        <v>28</v>
      </c>
      <c r="N415" t="s">
        <v>29</v>
      </c>
    </row>
    <row r="416" spans="1:14" x14ac:dyDescent="0.25">
      <c r="A416" s="5" t="s">
        <v>641</v>
      </c>
      <c r="B416" s="5" t="s">
        <v>903</v>
      </c>
      <c r="C416" s="5" t="s">
        <v>75</v>
      </c>
      <c r="D416" s="5" t="s">
        <v>918</v>
      </c>
      <c r="E416" s="5" t="s">
        <v>919</v>
      </c>
      <c r="F416" s="5">
        <v>15</v>
      </c>
      <c r="G416" s="5">
        <v>3</v>
      </c>
      <c r="H416" s="5">
        <v>18</v>
      </c>
      <c r="I416" s="6">
        <v>0.8571428571428571</v>
      </c>
      <c r="J416" s="6">
        <v>0.8571428571428572</v>
      </c>
      <c r="K416" s="6">
        <f>Parametri!$B$6*I416+Parametri!$B$7*J416</f>
      </c>
      <c r="L416" s="5">
        <f>IF(K416&gt;=Parametri!$B$3,3,IF(K416&gt;=Parametri!$B$4,2,1))</f>
      </c>
      <c r="M416" s="5" t="s">
        <v>28</v>
      </c>
      <c r="N416" s="5" t="s">
        <v>29</v>
      </c>
    </row>
    <row r="417" spans="1:14" x14ac:dyDescent="0.25">
      <c r="A417" t="s">
        <v>641</v>
      </c>
      <c r="B417" t="s">
        <v>920</v>
      </c>
      <c r="C417" t="s">
        <v>25</v>
      </c>
      <c r="D417" t="s">
        <v>921</v>
      </c>
      <c r="E417" t="s">
        <v>922</v>
      </c>
      <c r="F417">
        <v>6</v>
      </c>
      <c r="G417">
        <v>2</v>
      </c>
      <c r="H417">
        <v>8</v>
      </c>
      <c r="I417" s="7">
        <v>1</v>
      </c>
      <c r="J417" s="7">
        <v>0</v>
      </c>
      <c r="K417" s="7">
        <f>Parametri!$B$6*I417+Parametri!$B$7*J417</f>
      </c>
      <c r="L417">
        <f>IF(K417&gt;=Parametri!$B$3,3,IF(K417&gt;=Parametri!$B$4,2,1))</f>
      </c>
      <c r="M417" t="s">
        <v>28</v>
      </c>
      <c r="N417" t="s">
        <v>29</v>
      </c>
    </row>
    <row r="418" spans="1:14" x14ac:dyDescent="0.25">
      <c r="A418" s="5" t="s">
        <v>641</v>
      </c>
      <c r="B418" s="5" t="s">
        <v>920</v>
      </c>
      <c r="C418" s="5" t="s">
        <v>25</v>
      </c>
      <c r="D418" s="5" t="s">
        <v>923</v>
      </c>
      <c r="E418" s="5" t="s">
        <v>924</v>
      </c>
      <c r="F418" s="5">
        <v>6</v>
      </c>
      <c r="G418" s="5">
        <v>2</v>
      </c>
      <c r="H418" s="5">
        <v>8</v>
      </c>
      <c r="I418" s="6">
        <v>1</v>
      </c>
      <c r="J418" s="6">
        <v>0</v>
      </c>
      <c r="K418" s="6">
        <f>Parametri!$B$6*I418+Parametri!$B$7*J418</f>
      </c>
      <c r="L418" s="5">
        <f>IF(K418&gt;=Parametri!$B$3,3,IF(K418&gt;=Parametri!$B$4,2,1))</f>
      </c>
      <c r="M418" s="5" t="s">
        <v>28</v>
      </c>
      <c r="N418" s="5" t="s">
        <v>29</v>
      </c>
    </row>
    <row r="419" spans="1:14" x14ac:dyDescent="0.25">
      <c r="A419" t="s">
        <v>641</v>
      </c>
      <c r="B419" t="s">
        <v>925</v>
      </c>
      <c r="C419" t="s">
        <v>25</v>
      </c>
      <c r="D419" t="s">
        <v>926</v>
      </c>
      <c r="E419" t="s">
        <v>927</v>
      </c>
      <c r="F419">
        <v>6</v>
      </c>
      <c r="G419">
        <v>1</v>
      </c>
      <c r="H419">
        <v>7</v>
      </c>
      <c r="I419" s="7">
        <v>0</v>
      </c>
      <c r="J419" s="7">
        <v>1</v>
      </c>
      <c r="K419" s="7">
        <f>Parametri!$B$6*I419+Parametri!$B$7*J419</f>
      </c>
      <c r="L419">
        <f>IF(K419&gt;=Parametri!$B$3,3,IF(K419&gt;=Parametri!$B$4,2,1))</f>
      </c>
      <c r="M419" t="s">
        <v>28</v>
      </c>
      <c r="N419" t="s">
        <v>29</v>
      </c>
    </row>
    <row r="420" spans="1:14" x14ac:dyDescent="0.25">
      <c r="A420" s="5" t="s">
        <v>641</v>
      </c>
      <c r="B420" s="5" t="s">
        <v>925</v>
      </c>
      <c r="C420" s="5" t="s">
        <v>25</v>
      </c>
      <c r="D420" s="5" t="s">
        <v>928</v>
      </c>
      <c r="E420" s="5" t="s">
        <v>929</v>
      </c>
      <c r="F420" s="5">
        <v>7</v>
      </c>
      <c r="G420" s="5">
        <v>5</v>
      </c>
      <c r="H420" s="5">
        <v>12</v>
      </c>
      <c r="I420" s="6">
        <v>1</v>
      </c>
      <c r="J420" s="6">
        <v>0</v>
      </c>
      <c r="K420" s="6">
        <f>Parametri!$B$6*I420+Parametri!$B$7*J420</f>
      </c>
      <c r="L420" s="5">
        <f>IF(K420&gt;=Parametri!$B$3,3,IF(K420&gt;=Parametri!$B$4,2,1))</f>
      </c>
      <c r="M420" s="5" t="s">
        <v>28</v>
      </c>
      <c r="N420" s="5" t="s">
        <v>29</v>
      </c>
    </row>
    <row r="421" spans="1:14" x14ac:dyDescent="0.25">
      <c r="A421" t="s">
        <v>641</v>
      </c>
      <c r="B421" t="s">
        <v>930</v>
      </c>
      <c r="C421" t="s">
        <v>25</v>
      </c>
      <c r="D421" t="s">
        <v>931</v>
      </c>
      <c r="E421" t="s">
        <v>845</v>
      </c>
      <c r="F421">
        <v>7</v>
      </c>
      <c r="G421">
        <v>1</v>
      </c>
      <c r="H421">
        <v>8</v>
      </c>
      <c r="I421" s="7">
        <v>1</v>
      </c>
      <c r="J421" s="7">
        <v>1</v>
      </c>
      <c r="K421" s="7">
        <f>Parametri!$B$6*I421+Parametri!$B$7*J421</f>
      </c>
      <c r="L421">
        <f>IF(K421&gt;=Parametri!$B$3,3,IF(K421&gt;=Parametri!$B$4,2,1))</f>
      </c>
      <c r="M421" t="s">
        <v>28</v>
      </c>
      <c r="N421" t="s">
        <v>29</v>
      </c>
    </row>
    <row r="422" spans="1:14" x14ac:dyDescent="0.25">
      <c r="A422" s="5" t="s">
        <v>641</v>
      </c>
      <c r="B422" s="5" t="s">
        <v>930</v>
      </c>
      <c r="C422" s="5" t="s">
        <v>25</v>
      </c>
      <c r="D422" s="5" t="s">
        <v>932</v>
      </c>
      <c r="E422" s="5" t="s">
        <v>847</v>
      </c>
      <c r="F422" s="5">
        <v>6</v>
      </c>
      <c r="G422" s="5">
        <v>3</v>
      </c>
      <c r="H422" s="5">
        <v>9</v>
      </c>
      <c r="I422" s="6">
        <v>0</v>
      </c>
      <c r="J422" s="6">
        <v>0</v>
      </c>
      <c r="K422" s="6">
        <f>Parametri!$B$6*I422+Parametri!$B$7*J422</f>
      </c>
      <c r="L422" s="5">
        <f>IF(K422&gt;=Parametri!$B$3,3,IF(K422&gt;=Parametri!$B$4,2,1))</f>
      </c>
      <c r="M422" s="5" t="s">
        <v>28</v>
      </c>
      <c r="N422" s="5" t="s">
        <v>29</v>
      </c>
    </row>
    <row r="423" spans="1:14" x14ac:dyDescent="0.25">
      <c r="A423" t="s">
        <v>641</v>
      </c>
      <c r="B423" t="s">
        <v>933</v>
      </c>
      <c r="C423" t="s">
        <v>75</v>
      </c>
      <c r="D423" t="s">
        <v>934</v>
      </c>
      <c r="E423" t="s">
        <v>935</v>
      </c>
      <c r="F423">
        <v>11</v>
      </c>
      <c r="G423">
        <v>8</v>
      </c>
      <c r="H423">
        <v>19</v>
      </c>
      <c r="I423" s="7">
        <v>0.8</v>
      </c>
      <c r="J423" s="7">
        <v>0.5333333333333333</v>
      </c>
      <c r="K423" s="7">
        <f>Parametri!$B$6*I423+Parametri!$B$7*J423</f>
      </c>
      <c r="L423">
        <f>IF(K423&gt;=Parametri!$B$3,3,IF(K423&gt;=Parametri!$B$4,2,1))</f>
      </c>
      <c r="M423" t="s">
        <v>28</v>
      </c>
      <c r="N423" t="s">
        <v>29</v>
      </c>
    </row>
    <row r="424" spans="1:14" x14ac:dyDescent="0.25">
      <c r="A424" s="5" t="s">
        <v>641</v>
      </c>
      <c r="B424" s="5" t="s">
        <v>933</v>
      </c>
      <c r="C424" s="5" t="s">
        <v>75</v>
      </c>
      <c r="D424" s="5" t="s">
        <v>936</v>
      </c>
      <c r="E424" s="5" t="s">
        <v>937</v>
      </c>
      <c r="F424" s="5">
        <v>10</v>
      </c>
      <c r="G424" s="5">
        <v>9</v>
      </c>
      <c r="H424" s="5">
        <v>19</v>
      </c>
      <c r="I424" s="6">
        <v>0.5333333333333333</v>
      </c>
      <c r="J424" s="6">
        <v>0.19999999999999996</v>
      </c>
      <c r="K424" s="6">
        <f>Parametri!$B$6*I424+Parametri!$B$7*J424</f>
      </c>
      <c r="L424" s="5">
        <f>IF(K424&gt;=Parametri!$B$3,3,IF(K424&gt;=Parametri!$B$4,2,1))</f>
      </c>
      <c r="M424" s="5" t="s">
        <v>28</v>
      </c>
      <c r="N424" s="5" t="s">
        <v>29</v>
      </c>
    </row>
    <row r="425" spans="1:14" x14ac:dyDescent="0.25">
      <c r="A425" t="s">
        <v>641</v>
      </c>
      <c r="B425" t="s">
        <v>933</v>
      </c>
      <c r="C425" t="s">
        <v>75</v>
      </c>
      <c r="D425" t="s">
        <v>938</v>
      </c>
      <c r="E425" t="s">
        <v>939</v>
      </c>
      <c r="F425">
        <v>7</v>
      </c>
      <c r="G425">
        <v>9</v>
      </c>
      <c r="H425">
        <v>16</v>
      </c>
      <c r="I425" s="7">
        <v>0.06666666666666667</v>
      </c>
      <c r="J425" s="7">
        <v>0.19999999999999996</v>
      </c>
      <c r="K425" s="7">
        <f>Parametri!$B$6*I425+Parametri!$B$7*J425</f>
      </c>
      <c r="L425">
        <f>IF(K425&gt;=Parametri!$B$3,3,IF(K425&gt;=Parametri!$B$4,2,1))</f>
      </c>
      <c r="M425" t="s">
        <v>28</v>
      </c>
      <c r="N425" t="s">
        <v>29</v>
      </c>
    </row>
    <row r="426" spans="1:14" x14ac:dyDescent="0.25">
      <c r="A426" s="5" t="s">
        <v>641</v>
      </c>
      <c r="B426" s="5" t="s">
        <v>933</v>
      </c>
      <c r="C426" s="5" t="s">
        <v>75</v>
      </c>
      <c r="D426" s="5" t="s">
        <v>940</v>
      </c>
      <c r="E426" s="5" t="s">
        <v>941</v>
      </c>
      <c r="F426" s="5">
        <v>11</v>
      </c>
      <c r="G426" s="5">
        <v>11</v>
      </c>
      <c r="H426" s="5">
        <v>22</v>
      </c>
      <c r="I426" s="6">
        <v>0.8</v>
      </c>
      <c r="J426" s="6">
        <v>0.06666666666666665</v>
      </c>
      <c r="K426" s="6">
        <f>Parametri!$B$6*I426+Parametri!$B$7*J426</f>
      </c>
      <c r="L426" s="5">
        <f>IF(K426&gt;=Parametri!$B$3,3,IF(K426&gt;=Parametri!$B$4,2,1))</f>
      </c>
      <c r="M426" s="5" t="s">
        <v>28</v>
      </c>
      <c r="N426" s="5" t="s">
        <v>29</v>
      </c>
    </row>
    <row r="427" spans="1:14" x14ac:dyDescent="0.25">
      <c r="A427" t="s">
        <v>641</v>
      </c>
      <c r="B427" t="s">
        <v>933</v>
      </c>
      <c r="C427" t="s">
        <v>75</v>
      </c>
      <c r="D427" t="s">
        <v>942</v>
      </c>
      <c r="E427" t="s">
        <v>943</v>
      </c>
      <c r="F427">
        <v>10</v>
      </c>
      <c r="G427">
        <v>8</v>
      </c>
      <c r="H427">
        <v>18</v>
      </c>
      <c r="I427" s="7">
        <v>0.5333333333333333</v>
      </c>
      <c r="J427" s="7">
        <v>0.5333333333333333</v>
      </c>
      <c r="K427" s="7">
        <f>Parametri!$B$6*I427+Parametri!$B$7*J427</f>
      </c>
      <c r="L427">
        <f>IF(K427&gt;=Parametri!$B$3,3,IF(K427&gt;=Parametri!$B$4,2,1))</f>
      </c>
      <c r="M427" t="s">
        <v>28</v>
      </c>
      <c r="N427" t="s">
        <v>29</v>
      </c>
    </row>
    <row r="428" spans="1:14" x14ac:dyDescent="0.25">
      <c r="A428" s="5" t="s">
        <v>641</v>
      </c>
      <c r="B428" s="5" t="s">
        <v>933</v>
      </c>
      <c r="C428" s="5" t="s">
        <v>75</v>
      </c>
      <c r="D428" s="5" t="s">
        <v>944</v>
      </c>
      <c r="E428" s="5" t="s">
        <v>945</v>
      </c>
      <c r="F428" s="5">
        <v>8</v>
      </c>
      <c r="G428" s="5">
        <v>13</v>
      </c>
      <c r="H428" s="5">
        <v>21</v>
      </c>
      <c r="I428" s="6">
        <v>0.2</v>
      </c>
      <c r="J428" s="6">
        <v>0</v>
      </c>
      <c r="K428" s="6">
        <f>Parametri!$B$6*I428+Parametri!$B$7*J428</f>
      </c>
      <c r="L428" s="5">
        <f>IF(K428&gt;=Parametri!$B$3,3,IF(K428&gt;=Parametri!$B$4,2,1))</f>
      </c>
      <c r="M428" s="5" t="s">
        <v>28</v>
      </c>
      <c r="N428" s="5" t="s">
        <v>29</v>
      </c>
    </row>
    <row r="429" spans="1:14" x14ac:dyDescent="0.25">
      <c r="A429" t="s">
        <v>641</v>
      </c>
      <c r="B429" t="s">
        <v>933</v>
      </c>
      <c r="C429" t="s">
        <v>75</v>
      </c>
      <c r="D429" t="s">
        <v>946</v>
      </c>
      <c r="E429" t="s">
        <v>947</v>
      </c>
      <c r="F429">
        <v>11</v>
      </c>
      <c r="G429">
        <v>4</v>
      </c>
      <c r="H429">
        <v>15</v>
      </c>
      <c r="I429" s="7">
        <v>0.8</v>
      </c>
      <c r="J429" s="7">
        <v>1</v>
      </c>
      <c r="K429" s="7">
        <f>Parametri!$B$6*I429+Parametri!$B$7*J429</f>
      </c>
      <c r="L429">
        <f>IF(K429&gt;=Parametri!$B$3,3,IF(K429&gt;=Parametri!$B$4,2,1))</f>
      </c>
      <c r="M429" t="s">
        <v>28</v>
      </c>
      <c r="N429" t="s">
        <v>29</v>
      </c>
    </row>
    <row r="430" spans="1:14" x14ac:dyDescent="0.25">
      <c r="A430" s="5" t="s">
        <v>641</v>
      </c>
      <c r="B430" s="5" t="s">
        <v>933</v>
      </c>
      <c r="C430" s="5" t="s">
        <v>75</v>
      </c>
      <c r="D430" s="5" t="s">
        <v>948</v>
      </c>
      <c r="E430" s="5" t="s">
        <v>949</v>
      </c>
      <c r="F430" s="5">
        <v>10</v>
      </c>
      <c r="G430" s="5">
        <v>6</v>
      </c>
      <c r="H430" s="5">
        <v>16</v>
      </c>
      <c r="I430" s="6">
        <v>0.5333333333333333</v>
      </c>
      <c r="J430" s="6">
        <v>0.8666666666666667</v>
      </c>
      <c r="K430" s="6">
        <f>Parametri!$B$6*I430+Parametri!$B$7*J430</f>
      </c>
      <c r="L430" s="5">
        <f>IF(K430&gt;=Parametri!$B$3,3,IF(K430&gt;=Parametri!$B$4,2,1))</f>
      </c>
      <c r="M430" s="5" t="s">
        <v>28</v>
      </c>
      <c r="N430" s="5" t="s">
        <v>29</v>
      </c>
    </row>
    <row r="431" spans="1:14" x14ac:dyDescent="0.25">
      <c r="A431" t="s">
        <v>641</v>
      </c>
      <c r="B431" t="s">
        <v>933</v>
      </c>
      <c r="C431" t="s">
        <v>75</v>
      </c>
      <c r="D431" t="s">
        <v>950</v>
      </c>
      <c r="E431" t="s">
        <v>951</v>
      </c>
      <c r="F431">
        <v>12</v>
      </c>
      <c r="G431">
        <v>8</v>
      </c>
      <c r="H431">
        <v>20</v>
      </c>
      <c r="I431" s="7">
        <v>1</v>
      </c>
      <c r="J431" s="7">
        <v>0.5333333333333333</v>
      </c>
      <c r="K431" s="7">
        <f>Parametri!$B$6*I431+Parametri!$B$7*J431</f>
      </c>
      <c r="L431">
        <f>IF(K431&gt;=Parametri!$B$3,3,IF(K431&gt;=Parametri!$B$4,2,1))</f>
      </c>
      <c r="M431" t="s">
        <v>28</v>
      </c>
      <c r="N431" t="s">
        <v>29</v>
      </c>
    </row>
    <row r="432" spans="1:14" x14ac:dyDescent="0.25">
      <c r="A432" s="5" t="s">
        <v>641</v>
      </c>
      <c r="B432" s="5" t="s">
        <v>933</v>
      </c>
      <c r="C432" s="5" t="s">
        <v>75</v>
      </c>
      <c r="D432" s="5" t="s">
        <v>952</v>
      </c>
      <c r="E432" s="5" t="s">
        <v>953</v>
      </c>
      <c r="F432" s="5">
        <v>11</v>
      </c>
      <c r="G432" s="5">
        <v>9</v>
      </c>
      <c r="H432" s="5">
        <v>20</v>
      </c>
      <c r="I432" s="6">
        <v>0.8</v>
      </c>
      <c r="J432" s="6">
        <v>0.19999999999999996</v>
      </c>
      <c r="K432" s="6">
        <f>Parametri!$B$6*I432+Parametri!$B$7*J432</f>
      </c>
      <c r="L432" s="5">
        <f>IF(K432&gt;=Parametri!$B$3,3,IF(K432&gt;=Parametri!$B$4,2,1))</f>
      </c>
      <c r="M432" s="5" t="s">
        <v>28</v>
      </c>
      <c r="N432" s="5" t="s">
        <v>29</v>
      </c>
    </row>
    <row r="433" spans="1:14" x14ac:dyDescent="0.25">
      <c r="A433" t="s">
        <v>641</v>
      </c>
      <c r="B433" t="s">
        <v>933</v>
      </c>
      <c r="C433" t="s">
        <v>75</v>
      </c>
      <c r="D433" t="s">
        <v>954</v>
      </c>
      <c r="E433" t="s">
        <v>955</v>
      </c>
      <c r="F433">
        <v>10</v>
      </c>
      <c r="G433">
        <v>9</v>
      </c>
      <c r="H433">
        <v>19</v>
      </c>
      <c r="I433" s="7">
        <v>0.5333333333333333</v>
      </c>
      <c r="J433" s="7">
        <v>0.19999999999999996</v>
      </c>
      <c r="K433" s="7">
        <f>Parametri!$B$6*I433+Parametri!$B$7*J433</f>
      </c>
      <c r="L433">
        <f>IF(K433&gt;=Parametri!$B$3,3,IF(K433&gt;=Parametri!$B$4,2,1))</f>
      </c>
      <c r="M433" t="s">
        <v>28</v>
      </c>
      <c r="N433" t="s">
        <v>29</v>
      </c>
    </row>
    <row r="434" spans="1:14" x14ac:dyDescent="0.25">
      <c r="A434" s="5" t="s">
        <v>641</v>
      </c>
      <c r="B434" s="5" t="s">
        <v>933</v>
      </c>
      <c r="C434" s="5" t="s">
        <v>75</v>
      </c>
      <c r="D434" s="5" t="s">
        <v>956</v>
      </c>
      <c r="E434" s="5" t="s">
        <v>957</v>
      </c>
      <c r="F434" s="5">
        <v>12</v>
      </c>
      <c r="G434" s="5">
        <v>6</v>
      </c>
      <c r="H434" s="5">
        <v>18</v>
      </c>
      <c r="I434" s="6">
        <v>1</v>
      </c>
      <c r="J434" s="6">
        <v>0.8666666666666667</v>
      </c>
      <c r="K434" s="6">
        <f>Parametri!$B$6*I434+Parametri!$B$7*J434</f>
      </c>
      <c r="L434" s="5">
        <f>IF(K434&gt;=Parametri!$B$3,3,IF(K434&gt;=Parametri!$B$4,2,1))</f>
      </c>
      <c r="M434" s="5" t="s">
        <v>28</v>
      </c>
      <c r="N434" s="5" t="s">
        <v>29</v>
      </c>
    </row>
    <row r="435" spans="1:14" x14ac:dyDescent="0.25">
      <c r="A435" t="s">
        <v>641</v>
      </c>
      <c r="B435" t="s">
        <v>933</v>
      </c>
      <c r="C435" t="s">
        <v>75</v>
      </c>
      <c r="D435" t="s">
        <v>958</v>
      </c>
      <c r="E435" t="s">
        <v>959</v>
      </c>
      <c r="F435">
        <v>10</v>
      </c>
      <c r="G435">
        <v>7</v>
      </c>
      <c r="H435">
        <v>17</v>
      </c>
      <c r="I435" s="7">
        <v>0.5333333333333333</v>
      </c>
      <c r="J435" s="7">
        <v>0.7333333333333334</v>
      </c>
      <c r="K435" s="7">
        <f>Parametri!$B$6*I435+Parametri!$B$7*J435</f>
      </c>
      <c r="L435">
        <f>IF(K435&gt;=Parametri!$B$3,3,IF(K435&gt;=Parametri!$B$4,2,1))</f>
      </c>
      <c r="M435" t="s">
        <v>28</v>
      </c>
      <c r="N435" t="s">
        <v>29</v>
      </c>
    </row>
    <row r="436" spans="1:14" x14ac:dyDescent="0.25">
      <c r="A436" s="5" t="s">
        <v>641</v>
      </c>
      <c r="B436" s="5" t="s">
        <v>933</v>
      </c>
      <c r="C436" s="5" t="s">
        <v>75</v>
      </c>
      <c r="D436" s="5" t="s">
        <v>960</v>
      </c>
      <c r="E436" s="5" t="s">
        <v>961</v>
      </c>
      <c r="F436" s="5">
        <v>7</v>
      </c>
      <c r="G436" s="5">
        <v>10</v>
      </c>
      <c r="H436" s="5">
        <v>17</v>
      </c>
      <c r="I436" s="6">
        <v>0.06666666666666667</v>
      </c>
      <c r="J436" s="6">
        <v>0.1333333333333333</v>
      </c>
      <c r="K436" s="6">
        <f>Parametri!$B$6*I436+Parametri!$B$7*J436</f>
      </c>
      <c r="L436" s="5">
        <f>IF(K436&gt;=Parametri!$B$3,3,IF(K436&gt;=Parametri!$B$4,2,1))</f>
      </c>
      <c r="M436" s="5" t="s">
        <v>28</v>
      </c>
      <c r="N436" s="5" t="s">
        <v>29</v>
      </c>
    </row>
    <row r="437" spans="1:14" x14ac:dyDescent="0.25">
      <c r="A437" t="s">
        <v>641</v>
      </c>
      <c r="B437" t="s">
        <v>933</v>
      </c>
      <c r="C437" t="s">
        <v>75</v>
      </c>
      <c r="D437" t="s">
        <v>962</v>
      </c>
      <c r="E437" t="s">
        <v>963</v>
      </c>
      <c r="F437">
        <v>8</v>
      </c>
      <c r="G437">
        <v>7</v>
      </c>
      <c r="H437">
        <v>15</v>
      </c>
      <c r="I437" s="7">
        <v>0.2</v>
      </c>
      <c r="J437" s="7">
        <v>0.7333333333333334</v>
      </c>
      <c r="K437" s="7">
        <f>Parametri!$B$6*I437+Parametri!$B$7*J437</f>
      </c>
      <c r="L437">
        <f>IF(K437&gt;=Parametri!$B$3,3,IF(K437&gt;=Parametri!$B$4,2,1))</f>
      </c>
      <c r="M437" t="s">
        <v>28</v>
      </c>
      <c r="N437" t="s">
        <v>29</v>
      </c>
    </row>
    <row r="438" spans="1:14" x14ac:dyDescent="0.25">
      <c r="A438" s="5" t="s">
        <v>641</v>
      </c>
      <c r="B438" s="5" t="s">
        <v>933</v>
      </c>
      <c r="C438" s="5" t="s">
        <v>75</v>
      </c>
      <c r="D438" s="5" t="s">
        <v>964</v>
      </c>
      <c r="E438" s="5" t="s">
        <v>965</v>
      </c>
      <c r="F438" s="5">
        <v>12</v>
      </c>
      <c r="G438" s="5">
        <v>9</v>
      </c>
      <c r="H438" s="5">
        <v>21</v>
      </c>
      <c r="I438" s="6">
        <v>1</v>
      </c>
      <c r="J438" s="6">
        <v>0.19999999999999996</v>
      </c>
      <c r="K438" s="6">
        <f>Parametri!$B$6*I438+Parametri!$B$7*J438</f>
      </c>
      <c r="L438" s="5">
        <f>IF(K438&gt;=Parametri!$B$3,3,IF(K438&gt;=Parametri!$B$4,2,1))</f>
      </c>
      <c r="M438" s="5" t="s">
        <v>28</v>
      </c>
      <c r="N438" s="5" t="s">
        <v>29</v>
      </c>
    </row>
    <row r="439" spans="1:14" x14ac:dyDescent="0.25">
      <c r="A439" t="s">
        <v>641</v>
      </c>
      <c r="B439" t="s">
        <v>966</v>
      </c>
      <c r="C439" t="s">
        <v>25</v>
      </c>
      <c r="D439" t="s">
        <v>967</v>
      </c>
      <c r="E439" t="s">
        <v>968</v>
      </c>
      <c r="F439">
        <v>6</v>
      </c>
      <c r="G439">
        <v>1</v>
      </c>
      <c r="H439">
        <v>7</v>
      </c>
      <c r="I439" s="7">
        <v>1</v>
      </c>
      <c r="J439" s="7">
        <v>1</v>
      </c>
      <c r="K439" s="7">
        <f>Parametri!$B$6*I439+Parametri!$B$7*J439</f>
      </c>
      <c r="L439">
        <f>IF(K439&gt;=Parametri!$B$3,3,IF(K439&gt;=Parametri!$B$4,2,1))</f>
      </c>
      <c r="M439" t="s">
        <v>28</v>
      </c>
      <c r="N439" t="s">
        <v>29</v>
      </c>
    </row>
    <row r="440" spans="1:14" x14ac:dyDescent="0.25">
      <c r="A440" s="5" t="s">
        <v>641</v>
      </c>
      <c r="B440" s="5" t="s">
        <v>966</v>
      </c>
      <c r="C440" s="5" t="s">
        <v>25</v>
      </c>
      <c r="D440" s="5" t="s">
        <v>969</v>
      </c>
      <c r="E440" s="5" t="s">
        <v>970</v>
      </c>
      <c r="F440" s="5">
        <v>5</v>
      </c>
      <c r="G440" s="5">
        <v>4</v>
      </c>
      <c r="H440" s="5">
        <v>9</v>
      </c>
      <c r="I440" s="6">
        <v>0</v>
      </c>
      <c r="J440" s="6">
        <v>0</v>
      </c>
      <c r="K440" s="6">
        <f>Parametri!$B$6*I440+Parametri!$B$7*J440</f>
      </c>
      <c r="L440" s="5">
        <f>IF(K440&gt;=Parametri!$B$3,3,IF(K440&gt;=Parametri!$B$4,2,1))</f>
      </c>
      <c r="M440" s="5" t="s">
        <v>28</v>
      </c>
      <c r="N440" s="5" t="s">
        <v>29</v>
      </c>
    </row>
    <row r="441" spans="1:14" x14ac:dyDescent="0.25">
      <c r="A441" t="s">
        <v>641</v>
      </c>
      <c r="B441" t="s">
        <v>971</v>
      </c>
      <c r="C441" t="s">
        <v>25</v>
      </c>
      <c r="D441" t="s">
        <v>972</v>
      </c>
      <c r="E441" t="s">
        <v>973</v>
      </c>
      <c r="F441">
        <v>9</v>
      </c>
      <c r="G441">
        <v>3</v>
      </c>
      <c r="H441">
        <v>12</v>
      </c>
      <c r="I441" s="7">
        <v>1</v>
      </c>
      <c r="J441" s="7">
        <v>1</v>
      </c>
      <c r="K441" s="7">
        <f>Parametri!$B$6*I441+Parametri!$B$7*J441</f>
      </c>
      <c r="L441">
        <f>IF(K441&gt;=Parametri!$B$3,3,IF(K441&gt;=Parametri!$B$4,2,1))</f>
      </c>
      <c r="M441" t="s">
        <v>28</v>
      </c>
      <c r="N441" t="s">
        <v>29</v>
      </c>
    </row>
    <row r="442" spans="1:14" x14ac:dyDescent="0.25">
      <c r="A442" s="5" t="s">
        <v>641</v>
      </c>
      <c r="B442" s="5" t="s">
        <v>971</v>
      </c>
      <c r="C442" s="5" t="s">
        <v>25</v>
      </c>
      <c r="D442" s="5" t="s">
        <v>974</v>
      </c>
      <c r="E442" s="5" t="s">
        <v>975</v>
      </c>
      <c r="F442" s="5">
        <v>7</v>
      </c>
      <c r="G442" s="5">
        <v>4</v>
      </c>
      <c r="H442" s="5">
        <v>11</v>
      </c>
      <c r="I442" s="6">
        <v>0</v>
      </c>
      <c r="J442" s="6">
        <v>0</v>
      </c>
      <c r="K442" s="6">
        <f>Parametri!$B$6*I442+Parametri!$B$7*J442</f>
      </c>
      <c r="L442" s="5">
        <f>IF(K442&gt;=Parametri!$B$3,3,IF(K442&gt;=Parametri!$B$4,2,1))</f>
      </c>
      <c r="M442" s="5" t="s">
        <v>28</v>
      </c>
      <c r="N442" s="5" t="s">
        <v>29</v>
      </c>
    </row>
    <row r="443" spans="1:14" x14ac:dyDescent="0.25">
      <c r="A443" t="s">
        <v>641</v>
      </c>
      <c r="B443" t="s">
        <v>976</v>
      </c>
      <c r="C443" t="s">
        <v>75</v>
      </c>
      <c r="D443" t="s">
        <v>977</v>
      </c>
      <c r="E443" t="s">
        <v>978</v>
      </c>
      <c r="F443">
        <v>8</v>
      </c>
      <c r="G443">
        <v>4</v>
      </c>
      <c r="H443">
        <v>12</v>
      </c>
      <c r="I443" s="7">
        <v>0.9090909090909091</v>
      </c>
      <c r="J443" s="7">
        <v>0.8181818181818181</v>
      </c>
      <c r="K443" s="7">
        <f>Parametri!$B$6*I443+Parametri!$B$7*J443</f>
      </c>
      <c r="L443">
        <f>IF(K443&gt;=Parametri!$B$3,3,IF(K443&gt;=Parametri!$B$4,2,1))</f>
      </c>
      <c r="M443" t="s">
        <v>28</v>
      </c>
      <c r="N443" t="s">
        <v>29</v>
      </c>
    </row>
    <row r="444" spans="1:14" x14ac:dyDescent="0.25">
      <c r="A444" s="5" t="s">
        <v>641</v>
      </c>
      <c r="B444" s="5" t="s">
        <v>976</v>
      </c>
      <c r="C444" s="5" t="s">
        <v>75</v>
      </c>
      <c r="D444" s="5" t="s">
        <v>979</v>
      </c>
      <c r="E444" s="5" t="s">
        <v>980</v>
      </c>
      <c r="F444" s="5">
        <v>8</v>
      </c>
      <c r="G444" s="5">
        <v>5</v>
      </c>
      <c r="H444" s="5">
        <v>13</v>
      </c>
      <c r="I444" s="6">
        <v>0.9090909090909091</v>
      </c>
      <c r="J444" s="6">
        <v>0.4545454545454546</v>
      </c>
      <c r="K444" s="6">
        <f>Parametri!$B$6*I444+Parametri!$B$7*J444</f>
      </c>
      <c r="L444" s="5">
        <f>IF(K444&gt;=Parametri!$B$3,3,IF(K444&gt;=Parametri!$B$4,2,1))</f>
      </c>
      <c r="M444" s="5" t="s">
        <v>28</v>
      </c>
      <c r="N444" s="5" t="s">
        <v>29</v>
      </c>
    </row>
    <row r="445" spans="1:14" x14ac:dyDescent="0.25">
      <c r="A445" t="s">
        <v>641</v>
      </c>
      <c r="B445" t="s">
        <v>976</v>
      </c>
      <c r="C445" t="s">
        <v>75</v>
      </c>
      <c r="D445" t="s">
        <v>981</v>
      </c>
      <c r="E445" t="s">
        <v>982</v>
      </c>
      <c r="F445">
        <v>7</v>
      </c>
      <c r="G445">
        <v>5</v>
      </c>
      <c r="H445">
        <v>12</v>
      </c>
      <c r="I445" s="7">
        <v>0.7272727272727273</v>
      </c>
      <c r="J445" s="7">
        <v>0.4545454545454546</v>
      </c>
      <c r="K445" s="7">
        <f>Parametri!$B$6*I445+Parametri!$B$7*J445</f>
      </c>
      <c r="L445">
        <f>IF(K445&gt;=Parametri!$B$3,3,IF(K445&gt;=Parametri!$B$4,2,1))</f>
      </c>
      <c r="M445" t="s">
        <v>28</v>
      </c>
      <c r="N445" t="s">
        <v>29</v>
      </c>
    </row>
    <row r="446" spans="1:14" x14ac:dyDescent="0.25">
      <c r="A446" s="5" t="s">
        <v>641</v>
      </c>
      <c r="B446" s="5" t="s">
        <v>976</v>
      </c>
      <c r="C446" s="5" t="s">
        <v>75</v>
      </c>
      <c r="D446" s="5" t="s">
        <v>983</v>
      </c>
      <c r="E446" s="5" t="s">
        <v>984</v>
      </c>
      <c r="F446" s="5">
        <v>6</v>
      </c>
      <c r="G446" s="5">
        <v>5</v>
      </c>
      <c r="H446" s="5">
        <v>11</v>
      </c>
      <c r="I446" s="6">
        <v>0.45454545454545453</v>
      </c>
      <c r="J446" s="6">
        <v>0.4545454545454546</v>
      </c>
      <c r="K446" s="6">
        <f>Parametri!$B$6*I446+Parametri!$B$7*J446</f>
      </c>
      <c r="L446" s="5">
        <f>IF(K446&gt;=Parametri!$B$3,3,IF(K446&gt;=Parametri!$B$4,2,1))</f>
      </c>
      <c r="M446" s="5" t="s">
        <v>28</v>
      </c>
      <c r="N446" s="5" t="s">
        <v>29</v>
      </c>
    </row>
    <row r="447" spans="1:14" x14ac:dyDescent="0.25">
      <c r="A447" t="s">
        <v>641</v>
      </c>
      <c r="B447" t="s">
        <v>976</v>
      </c>
      <c r="C447" t="s">
        <v>75</v>
      </c>
      <c r="D447" t="s">
        <v>985</v>
      </c>
      <c r="E447" t="s">
        <v>986</v>
      </c>
      <c r="F447">
        <v>18</v>
      </c>
      <c r="G447">
        <v>1</v>
      </c>
      <c r="H447">
        <v>19</v>
      </c>
      <c r="I447" s="7">
        <v>1</v>
      </c>
      <c r="J447" s="7">
        <v>1</v>
      </c>
      <c r="K447" s="7">
        <f>Parametri!$B$6*I447+Parametri!$B$7*J447</f>
      </c>
      <c r="L447">
        <f>IF(K447&gt;=Parametri!$B$3,3,IF(K447&gt;=Parametri!$B$4,2,1))</f>
      </c>
      <c r="M447" t="s">
        <v>28</v>
      </c>
      <c r="N447" t="s">
        <v>29</v>
      </c>
    </row>
    <row r="448" spans="1:14" x14ac:dyDescent="0.25">
      <c r="A448" s="5" t="s">
        <v>641</v>
      </c>
      <c r="B448" s="5" t="s">
        <v>976</v>
      </c>
      <c r="C448" s="5" t="s">
        <v>75</v>
      </c>
      <c r="D448" s="5" t="s">
        <v>987</v>
      </c>
      <c r="E448" s="5" t="s">
        <v>988</v>
      </c>
      <c r="F448" s="5">
        <v>5</v>
      </c>
      <c r="G448" s="5">
        <v>8</v>
      </c>
      <c r="H448" s="5">
        <v>13</v>
      </c>
      <c r="I448" s="6">
        <v>0.2727272727272727</v>
      </c>
      <c r="J448" s="6">
        <v>0.09090909090909094</v>
      </c>
      <c r="K448" s="6">
        <f>Parametri!$B$6*I448+Parametri!$B$7*J448</f>
      </c>
      <c r="L448" s="5">
        <f>IF(K448&gt;=Parametri!$B$3,3,IF(K448&gt;=Parametri!$B$4,2,1))</f>
      </c>
      <c r="M448" s="5" t="s">
        <v>28</v>
      </c>
      <c r="N448" s="5" t="s">
        <v>29</v>
      </c>
    </row>
    <row r="449" spans="1:14" x14ac:dyDescent="0.25">
      <c r="A449" t="s">
        <v>641</v>
      </c>
      <c r="B449" t="s">
        <v>976</v>
      </c>
      <c r="C449" t="s">
        <v>75</v>
      </c>
      <c r="D449" t="s">
        <v>989</v>
      </c>
      <c r="E449" t="s">
        <v>990</v>
      </c>
      <c r="F449">
        <v>6</v>
      </c>
      <c r="G449">
        <v>7</v>
      </c>
      <c r="H449">
        <v>13</v>
      </c>
      <c r="I449" s="7">
        <v>0.45454545454545453</v>
      </c>
      <c r="J449" s="7">
        <v>0.18181818181818177</v>
      </c>
      <c r="K449" s="7">
        <f>Parametri!$B$6*I449+Parametri!$B$7*J449</f>
      </c>
      <c r="L449">
        <f>IF(K449&gt;=Parametri!$B$3,3,IF(K449&gt;=Parametri!$B$4,2,1))</f>
      </c>
      <c r="M449" t="s">
        <v>28</v>
      </c>
      <c r="N449" t="s">
        <v>29</v>
      </c>
    </row>
    <row r="450" spans="1:14" x14ac:dyDescent="0.25">
      <c r="A450" s="5" t="s">
        <v>641</v>
      </c>
      <c r="B450" s="5" t="s">
        <v>976</v>
      </c>
      <c r="C450" s="5" t="s">
        <v>75</v>
      </c>
      <c r="D450" s="5" t="s">
        <v>991</v>
      </c>
      <c r="E450" s="5" t="s">
        <v>992</v>
      </c>
      <c r="F450" s="5">
        <v>5</v>
      </c>
      <c r="G450" s="5">
        <v>7</v>
      </c>
      <c r="H450" s="5">
        <v>12</v>
      </c>
      <c r="I450" s="6">
        <v>0.2727272727272727</v>
      </c>
      <c r="J450" s="6">
        <v>0.18181818181818177</v>
      </c>
      <c r="K450" s="6">
        <f>Parametri!$B$6*I450+Parametri!$B$7*J450</f>
      </c>
      <c r="L450" s="5">
        <f>IF(K450&gt;=Parametri!$B$3,3,IF(K450&gt;=Parametri!$B$4,2,1))</f>
      </c>
      <c r="M450" s="5" t="s">
        <v>28</v>
      </c>
      <c r="N450" s="5" t="s">
        <v>29</v>
      </c>
    </row>
    <row r="451" spans="1:14" x14ac:dyDescent="0.25">
      <c r="A451" t="s">
        <v>641</v>
      </c>
      <c r="B451" t="s">
        <v>976</v>
      </c>
      <c r="C451" t="s">
        <v>75</v>
      </c>
      <c r="D451" t="s">
        <v>993</v>
      </c>
      <c r="E451" t="s">
        <v>994</v>
      </c>
      <c r="F451">
        <v>5</v>
      </c>
      <c r="G451">
        <v>9</v>
      </c>
      <c r="H451">
        <v>14</v>
      </c>
      <c r="I451" s="7">
        <v>0.2727272727272727</v>
      </c>
      <c r="J451" s="7">
        <v>0</v>
      </c>
      <c r="K451" s="7">
        <f>Parametri!$B$6*I451+Parametri!$B$7*J451</f>
      </c>
      <c r="L451">
        <f>IF(K451&gt;=Parametri!$B$3,3,IF(K451&gt;=Parametri!$B$4,2,1))</f>
      </c>
      <c r="M451" t="s">
        <v>28</v>
      </c>
      <c r="N451" t="s">
        <v>29</v>
      </c>
    </row>
    <row r="452" spans="1:14" x14ac:dyDescent="0.25">
      <c r="A452" s="5" t="s">
        <v>641</v>
      </c>
      <c r="B452" s="5" t="s">
        <v>976</v>
      </c>
      <c r="C452" s="5" t="s">
        <v>75</v>
      </c>
      <c r="D452" s="5" t="s">
        <v>995</v>
      </c>
      <c r="E452" s="5" t="s">
        <v>996</v>
      </c>
      <c r="F452" s="5">
        <v>7</v>
      </c>
      <c r="G452" s="5">
        <v>5</v>
      </c>
      <c r="H452" s="5">
        <v>12</v>
      </c>
      <c r="I452" s="6">
        <v>0.7272727272727273</v>
      </c>
      <c r="J452" s="6">
        <v>0.4545454545454546</v>
      </c>
      <c r="K452" s="6">
        <f>Parametri!$B$6*I452+Parametri!$B$7*J452</f>
      </c>
      <c r="L452" s="5">
        <f>IF(K452&gt;=Parametri!$B$3,3,IF(K452&gt;=Parametri!$B$4,2,1))</f>
      </c>
      <c r="M452" s="5" t="s">
        <v>28</v>
      </c>
      <c r="N452" s="5" t="s">
        <v>29</v>
      </c>
    </row>
    <row r="453" spans="1:14" x14ac:dyDescent="0.25">
      <c r="A453" t="s">
        <v>641</v>
      </c>
      <c r="B453" t="s">
        <v>976</v>
      </c>
      <c r="C453" t="s">
        <v>75</v>
      </c>
      <c r="D453" t="s">
        <v>997</v>
      </c>
      <c r="E453" t="s">
        <v>998</v>
      </c>
      <c r="F453">
        <v>7</v>
      </c>
      <c r="G453">
        <v>3</v>
      </c>
      <c r="H453">
        <v>10</v>
      </c>
      <c r="I453" s="7">
        <v>0.7272727272727273</v>
      </c>
      <c r="J453" s="7">
        <v>0.9090909090909091</v>
      </c>
      <c r="K453" s="7">
        <f>Parametri!$B$6*I453+Parametri!$B$7*J453</f>
      </c>
      <c r="L453">
        <f>IF(K453&gt;=Parametri!$B$3,3,IF(K453&gt;=Parametri!$B$4,2,1))</f>
      </c>
      <c r="M453" t="s">
        <v>28</v>
      </c>
      <c r="N453" t="s">
        <v>29</v>
      </c>
    </row>
    <row r="454" spans="1:14" x14ac:dyDescent="0.25">
      <c r="A454" s="5" t="s">
        <v>641</v>
      </c>
      <c r="B454" s="5" t="s">
        <v>976</v>
      </c>
      <c r="C454" s="5" t="s">
        <v>75</v>
      </c>
      <c r="D454" s="5" t="s">
        <v>999</v>
      </c>
      <c r="E454" s="5" t="s">
        <v>1000</v>
      </c>
      <c r="F454" s="5">
        <v>5</v>
      </c>
      <c r="G454" s="5">
        <v>7</v>
      </c>
      <c r="H454" s="5">
        <v>12</v>
      </c>
      <c r="I454" s="6">
        <v>0.2727272727272727</v>
      </c>
      <c r="J454" s="6">
        <v>0.18181818181818177</v>
      </c>
      <c r="K454" s="6">
        <f>Parametri!$B$6*I454+Parametri!$B$7*J454</f>
      </c>
      <c r="L454" s="5">
        <f>IF(K454&gt;=Parametri!$B$3,3,IF(K454&gt;=Parametri!$B$4,2,1))</f>
      </c>
      <c r="M454" s="5" t="s">
        <v>28</v>
      </c>
      <c r="N454" s="5" t="s">
        <v>29</v>
      </c>
    </row>
    <row r="455" spans="1:14" x14ac:dyDescent="0.25">
      <c r="A455" t="s">
        <v>641</v>
      </c>
      <c r="B455" t="s">
        <v>1001</v>
      </c>
      <c r="C455" t="s">
        <v>75</v>
      </c>
      <c r="D455" t="s">
        <v>1002</v>
      </c>
      <c r="E455" t="s">
        <v>1003</v>
      </c>
      <c r="F455">
        <v>12</v>
      </c>
      <c r="G455">
        <v>7</v>
      </c>
      <c r="H455">
        <v>19</v>
      </c>
      <c r="I455" s="7">
        <v>0.7142857142857143</v>
      </c>
      <c r="J455" s="7">
        <v>0.2857142857142857</v>
      </c>
      <c r="K455" s="7">
        <f>Parametri!$B$6*I455+Parametri!$B$7*J455</f>
      </c>
      <c r="L455">
        <f>IF(K455&gt;=Parametri!$B$3,3,IF(K455&gt;=Parametri!$B$4,2,1))</f>
      </c>
      <c r="M455" t="s">
        <v>28</v>
      </c>
      <c r="N455" t="s">
        <v>29</v>
      </c>
    </row>
    <row r="456" spans="1:14" x14ac:dyDescent="0.25">
      <c r="A456" s="5" t="s">
        <v>641</v>
      </c>
      <c r="B456" s="5" t="s">
        <v>1001</v>
      </c>
      <c r="C456" s="5" t="s">
        <v>75</v>
      </c>
      <c r="D456" s="5" t="s">
        <v>1004</v>
      </c>
      <c r="E456" s="5" t="s">
        <v>1005</v>
      </c>
      <c r="F456" s="5">
        <v>15</v>
      </c>
      <c r="G456" s="5">
        <v>10</v>
      </c>
      <c r="H456" s="5">
        <v>25</v>
      </c>
      <c r="I456" s="6">
        <v>1</v>
      </c>
      <c r="J456" s="6">
        <v>0</v>
      </c>
      <c r="K456" s="6">
        <f>Parametri!$B$6*I456+Parametri!$B$7*J456</f>
      </c>
      <c r="L456" s="5">
        <f>IF(K456&gt;=Parametri!$B$3,3,IF(K456&gt;=Parametri!$B$4,2,1))</f>
      </c>
      <c r="M456" s="5" t="s">
        <v>28</v>
      </c>
      <c r="N456" s="5" t="s">
        <v>29</v>
      </c>
    </row>
    <row r="457" spans="1:14" x14ac:dyDescent="0.25">
      <c r="A457" t="s">
        <v>641</v>
      </c>
      <c r="B457" t="s">
        <v>1001</v>
      </c>
      <c r="C457" t="s">
        <v>75</v>
      </c>
      <c r="D457" t="s">
        <v>1006</v>
      </c>
      <c r="E457" t="s">
        <v>1007</v>
      </c>
      <c r="F457">
        <v>12</v>
      </c>
      <c r="G457">
        <v>8</v>
      </c>
      <c r="H457">
        <v>20</v>
      </c>
      <c r="I457" s="7">
        <v>0.7142857142857143</v>
      </c>
      <c r="J457" s="7">
        <v>0.1428571428571429</v>
      </c>
      <c r="K457" s="7">
        <f>Parametri!$B$6*I457+Parametri!$B$7*J457</f>
      </c>
      <c r="L457">
        <f>IF(K457&gt;=Parametri!$B$3,3,IF(K457&gt;=Parametri!$B$4,2,1))</f>
      </c>
      <c r="M457" t="s">
        <v>28</v>
      </c>
      <c r="N457" t="s">
        <v>29</v>
      </c>
    </row>
    <row r="458" spans="1:14" x14ac:dyDescent="0.25">
      <c r="A458" s="5" t="s">
        <v>641</v>
      </c>
      <c r="B458" s="5" t="s">
        <v>1001</v>
      </c>
      <c r="C458" s="5" t="s">
        <v>75</v>
      </c>
      <c r="D458" s="5" t="s">
        <v>1008</v>
      </c>
      <c r="E458" s="5" t="s">
        <v>1009</v>
      </c>
      <c r="F458" s="5">
        <v>11</v>
      </c>
      <c r="G458" s="5">
        <v>6</v>
      </c>
      <c r="H458" s="5">
        <v>17</v>
      </c>
      <c r="I458" s="6">
        <v>0.2857142857142857</v>
      </c>
      <c r="J458" s="6">
        <v>0.7142857142857143</v>
      </c>
      <c r="K458" s="6">
        <f>Parametri!$B$6*I458+Parametri!$B$7*J458</f>
      </c>
      <c r="L458" s="5">
        <f>IF(K458&gt;=Parametri!$B$3,3,IF(K458&gt;=Parametri!$B$4,2,1))</f>
      </c>
      <c r="M458" s="5" t="s">
        <v>28</v>
      </c>
      <c r="N458" s="5" t="s">
        <v>29</v>
      </c>
    </row>
    <row r="459" spans="1:14" x14ac:dyDescent="0.25">
      <c r="A459" t="s">
        <v>641</v>
      </c>
      <c r="B459" t="s">
        <v>1001</v>
      </c>
      <c r="C459" t="s">
        <v>75</v>
      </c>
      <c r="D459" t="s">
        <v>1010</v>
      </c>
      <c r="E459" t="s">
        <v>1011</v>
      </c>
      <c r="F459">
        <v>12</v>
      </c>
      <c r="G459">
        <v>7</v>
      </c>
      <c r="H459">
        <v>19</v>
      </c>
      <c r="I459" s="7">
        <v>0.7142857142857143</v>
      </c>
      <c r="J459" s="7">
        <v>0.2857142857142857</v>
      </c>
      <c r="K459" s="7">
        <f>Parametri!$B$6*I459+Parametri!$B$7*J459</f>
      </c>
      <c r="L459">
        <f>IF(K459&gt;=Parametri!$B$3,3,IF(K459&gt;=Parametri!$B$4,2,1))</f>
      </c>
      <c r="M459" t="s">
        <v>28</v>
      </c>
      <c r="N459" t="s">
        <v>29</v>
      </c>
    </row>
    <row r="460" spans="1:14" x14ac:dyDescent="0.25">
      <c r="A460" s="5" t="s">
        <v>641</v>
      </c>
      <c r="B460" s="5" t="s">
        <v>1001</v>
      </c>
      <c r="C460" s="5" t="s">
        <v>75</v>
      </c>
      <c r="D460" s="5" t="s">
        <v>1012</v>
      </c>
      <c r="E460" s="5" t="s">
        <v>1013</v>
      </c>
      <c r="F460" s="5">
        <v>9</v>
      </c>
      <c r="G460" s="5">
        <v>6</v>
      </c>
      <c r="H460" s="5">
        <v>15</v>
      </c>
      <c r="I460" s="6">
        <v>0</v>
      </c>
      <c r="J460" s="6">
        <v>0.7142857142857143</v>
      </c>
      <c r="K460" s="6">
        <f>Parametri!$B$6*I460+Parametri!$B$7*J460</f>
      </c>
      <c r="L460" s="5">
        <f>IF(K460&gt;=Parametri!$B$3,3,IF(K460&gt;=Parametri!$B$4,2,1))</f>
      </c>
      <c r="M460" s="5" t="s">
        <v>28</v>
      </c>
      <c r="N460" s="5" t="s">
        <v>29</v>
      </c>
    </row>
    <row r="461" spans="1:14" x14ac:dyDescent="0.25">
      <c r="A461" t="s">
        <v>641</v>
      </c>
      <c r="B461" t="s">
        <v>1001</v>
      </c>
      <c r="C461" t="s">
        <v>75</v>
      </c>
      <c r="D461" t="s">
        <v>1014</v>
      </c>
      <c r="E461" t="s">
        <v>1015</v>
      </c>
      <c r="F461">
        <v>13</v>
      </c>
      <c r="G461">
        <v>4</v>
      </c>
      <c r="H461">
        <v>17</v>
      </c>
      <c r="I461" s="7">
        <v>0.8571428571428571</v>
      </c>
      <c r="J461" s="7">
        <v>1</v>
      </c>
      <c r="K461" s="7">
        <f>Parametri!$B$6*I461+Parametri!$B$7*J461</f>
      </c>
      <c r="L461">
        <f>IF(K461&gt;=Parametri!$B$3,3,IF(K461&gt;=Parametri!$B$4,2,1))</f>
      </c>
      <c r="M461" t="s">
        <v>28</v>
      </c>
      <c r="N461" t="s">
        <v>29</v>
      </c>
    </row>
    <row r="462" spans="1:14" x14ac:dyDescent="0.25">
      <c r="A462" s="5" t="s">
        <v>641</v>
      </c>
      <c r="B462" s="5" t="s">
        <v>1001</v>
      </c>
      <c r="C462" s="5" t="s">
        <v>75</v>
      </c>
      <c r="D462" s="5" t="s">
        <v>1016</v>
      </c>
      <c r="E462" s="5" t="s">
        <v>1017</v>
      </c>
      <c r="F462" s="5">
        <v>11</v>
      </c>
      <c r="G462" s="5">
        <v>7</v>
      </c>
      <c r="H462" s="5">
        <v>18</v>
      </c>
      <c r="I462" s="6">
        <v>0.2857142857142857</v>
      </c>
      <c r="J462" s="6">
        <v>0.2857142857142857</v>
      </c>
      <c r="K462" s="6">
        <f>Parametri!$B$6*I462+Parametri!$B$7*J462</f>
      </c>
      <c r="L462" s="5">
        <f>IF(K462&gt;=Parametri!$B$3,3,IF(K462&gt;=Parametri!$B$4,2,1))</f>
      </c>
      <c r="M462" s="5" t="s">
        <v>28</v>
      </c>
      <c r="N462" s="5" t="s">
        <v>29</v>
      </c>
    </row>
    <row r="463" spans="1:14" x14ac:dyDescent="0.25">
      <c r="A463" t="s">
        <v>641</v>
      </c>
      <c r="B463" t="s">
        <v>1018</v>
      </c>
      <c r="C463" t="s">
        <v>25</v>
      </c>
      <c r="D463" t="s">
        <v>1019</v>
      </c>
      <c r="E463" t="s">
        <v>1020</v>
      </c>
      <c r="F463">
        <v>8</v>
      </c>
      <c r="G463">
        <v>1</v>
      </c>
      <c r="H463">
        <v>9</v>
      </c>
      <c r="I463" s="7">
        <v>1</v>
      </c>
      <c r="J463" s="7">
        <v>1</v>
      </c>
      <c r="K463" s="7">
        <f>Parametri!$B$6*I463+Parametri!$B$7*J463</f>
      </c>
      <c r="L463">
        <f>IF(K463&gt;=Parametri!$B$3,3,IF(K463&gt;=Parametri!$B$4,2,1))</f>
      </c>
      <c r="M463" t="s">
        <v>28</v>
      </c>
      <c r="N463" t="s">
        <v>29</v>
      </c>
    </row>
    <row r="464" spans="1:14" x14ac:dyDescent="0.25">
      <c r="A464" s="5" t="s">
        <v>641</v>
      </c>
      <c r="B464" s="5" t="s">
        <v>1018</v>
      </c>
      <c r="C464" s="5" t="s">
        <v>25</v>
      </c>
      <c r="D464" s="5" t="s">
        <v>1021</v>
      </c>
      <c r="E464" s="5" t="s">
        <v>1022</v>
      </c>
      <c r="F464" s="5">
        <v>5</v>
      </c>
      <c r="G464" s="5">
        <v>2</v>
      </c>
      <c r="H464" s="5">
        <v>7</v>
      </c>
      <c r="I464" s="6">
        <v>0</v>
      </c>
      <c r="J464" s="6">
        <v>0</v>
      </c>
      <c r="K464" s="6">
        <f>Parametri!$B$6*I464+Parametri!$B$7*J464</f>
      </c>
      <c r="L464" s="5">
        <f>IF(K464&gt;=Parametri!$B$3,3,IF(K464&gt;=Parametri!$B$4,2,1))</f>
      </c>
      <c r="M464" s="5" t="s">
        <v>28</v>
      </c>
      <c r="N464" s="5" t="s">
        <v>29</v>
      </c>
    </row>
    <row r="465" spans="1:14" x14ac:dyDescent="0.25">
      <c r="A465" t="s">
        <v>641</v>
      </c>
      <c r="B465" t="s">
        <v>1023</v>
      </c>
      <c r="C465" t="s">
        <v>25</v>
      </c>
      <c r="D465" t="s">
        <v>1024</v>
      </c>
      <c r="E465" t="s">
        <v>1025</v>
      </c>
      <c r="F465">
        <v>4</v>
      </c>
      <c r="G465">
        <v>4</v>
      </c>
      <c r="H465">
        <v>8</v>
      </c>
      <c r="I465" s="7">
        <v>0</v>
      </c>
      <c r="J465" s="7">
        <v>0</v>
      </c>
      <c r="K465" s="7">
        <f>Parametri!$B$6*I465+Parametri!$B$7*J465</f>
      </c>
      <c r="L465">
        <f>IF(K465&gt;=Parametri!$B$3,3,IF(K465&gt;=Parametri!$B$4,2,1))</f>
      </c>
      <c r="M465" t="s">
        <v>28</v>
      </c>
      <c r="N465" t="s">
        <v>29</v>
      </c>
    </row>
    <row r="466" spans="1:14" x14ac:dyDescent="0.25">
      <c r="A466" s="5" t="s">
        <v>641</v>
      </c>
      <c r="B466" s="5" t="s">
        <v>1023</v>
      </c>
      <c r="C466" s="5" t="s">
        <v>25</v>
      </c>
      <c r="D466" s="5" t="s">
        <v>1026</v>
      </c>
      <c r="E466" s="5" t="s">
        <v>1027</v>
      </c>
      <c r="F466" s="5">
        <v>7</v>
      </c>
      <c r="G466" s="5">
        <v>2</v>
      </c>
      <c r="H466" s="5">
        <v>9</v>
      </c>
      <c r="I466" s="6">
        <v>1</v>
      </c>
      <c r="J466" s="6">
        <v>1</v>
      </c>
      <c r="K466" s="6">
        <f>Parametri!$B$6*I466+Parametri!$B$7*J466</f>
      </c>
      <c r="L466" s="5">
        <f>IF(K466&gt;=Parametri!$B$3,3,IF(K466&gt;=Parametri!$B$4,2,1))</f>
      </c>
      <c r="M466" s="5" t="s">
        <v>28</v>
      </c>
      <c r="N466" s="5" t="s">
        <v>29</v>
      </c>
    </row>
    <row r="467" spans="1:14" x14ac:dyDescent="0.25">
      <c r="A467" t="s">
        <v>641</v>
      </c>
      <c r="B467" t="s">
        <v>1028</v>
      </c>
      <c r="C467" t="s">
        <v>25</v>
      </c>
      <c r="D467" t="s">
        <v>1029</v>
      </c>
      <c r="E467" t="s">
        <v>1030</v>
      </c>
      <c r="F467">
        <v>6</v>
      </c>
      <c r="G467">
        <v>5</v>
      </c>
      <c r="H467">
        <v>11</v>
      </c>
      <c r="I467" s="7">
        <v>1</v>
      </c>
      <c r="J467" s="7">
        <v>0</v>
      </c>
      <c r="K467" s="7">
        <f>Parametri!$B$6*I467+Parametri!$B$7*J467</f>
      </c>
      <c r="L467">
        <f>IF(K467&gt;=Parametri!$B$3,3,IF(K467&gt;=Parametri!$B$4,2,1))</f>
      </c>
      <c r="M467" t="s">
        <v>28</v>
      </c>
      <c r="N467" t="s">
        <v>29</v>
      </c>
    </row>
    <row r="468" spans="1:14" x14ac:dyDescent="0.25">
      <c r="A468" s="5" t="s">
        <v>641</v>
      </c>
      <c r="B468" s="5" t="s">
        <v>1028</v>
      </c>
      <c r="C468" s="5" t="s">
        <v>25</v>
      </c>
      <c r="D468" s="5" t="s">
        <v>1031</v>
      </c>
      <c r="E468" s="5" t="s">
        <v>1032</v>
      </c>
      <c r="F468" s="5">
        <v>5</v>
      </c>
      <c r="G468" s="5">
        <v>4</v>
      </c>
      <c r="H468" s="5">
        <v>9</v>
      </c>
      <c r="I468" s="6">
        <v>0</v>
      </c>
      <c r="J468" s="6">
        <v>1</v>
      </c>
      <c r="K468" s="6">
        <f>Parametri!$B$6*I468+Parametri!$B$7*J468</f>
      </c>
      <c r="L468" s="5">
        <f>IF(K468&gt;=Parametri!$B$3,3,IF(K468&gt;=Parametri!$B$4,2,1))</f>
      </c>
      <c r="M468" s="5" t="s">
        <v>28</v>
      </c>
      <c r="N468" s="5" t="s">
        <v>29</v>
      </c>
    </row>
    <row r="469" spans="1:14" x14ac:dyDescent="0.25">
      <c r="A469" t="s">
        <v>641</v>
      </c>
      <c r="B469" t="s">
        <v>1033</v>
      </c>
      <c r="C469" t="s">
        <v>25</v>
      </c>
      <c r="D469" t="s">
        <v>1034</v>
      </c>
      <c r="E469" t="s">
        <v>1035</v>
      </c>
      <c r="F469">
        <v>11</v>
      </c>
      <c r="G469">
        <v>1</v>
      </c>
      <c r="H469">
        <v>12</v>
      </c>
      <c r="I469" s="7">
        <v>1</v>
      </c>
      <c r="J469" s="7">
        <v>1</v>
      </c>
      <c r="K469" s="7">
        <f>Parametri!$B$6*I469+Parametri!$B$7*J469</f>
      </c>
      <c r="L469">
        <f>IF(K469&gt;=Parametri!$B$3,3,IF(K469&gt;=Parametri!$B$4,2,1))</f>
      </c>
      <c r="M469" t="s">
        <v>28</v>
      </c>
      <c r="N469" t="s">
        <v>29</v>
      </c>
    </row>
    <row r="470" spans="1:14" x14ac:dyDescent="0.25">
      <c r="A470" s="5" t="s">
        <v>641</v>
      </c>
      <c r="B470" s="5" t="s">
        <v>1033</v>
      </c>
      <c r="C470" s="5" t="s">
        <v>25</v>
      </c>
      <c r="D470" s="5" t="s">
        <v>1036</v>
      </c>
      <c r="E470" s="5" t="s">
        <v>1037</v>
      </c>
      <c r="F470" s="5">
        <v>10</v>
      </c>
      <c r="G470" s="5">
        <v>2</v>
      </c>
      <c r="H470" s="5">
        <v>12</v>
      </c>
      <c r="I470" s="6">
        <v>0</v>
      </c>
      <c r="J470" s="6">
        <v>0</v>
      </c>
      <c r="K470" s="6">
        <f>Parametri!$B$6*I470+Parametri!$B$7*J470</f>
      </c>
      <c r="L470" s="5">
        <f>IF(K470&gt;=Parametri!$B$3,3,IF(K470&gt;=Parametri!$B$4,2,1))</f>
      </c>
      <c r="M470" s="5" t="s">
        <v>28</v>
      </c>
      <c r="N470" s="5" t="s">
        <v>29</v>
      </c>
    </row>
    <row r="471" spans="1:14" x14ac:dyDescent="0.25">
      <c r="A471" t="s">
        <v>641</v>
      </c>
      <c r="B471" t="s">
        <v>1038</v>
      </c>
      <c r="C471" t="s">
        <v>25</v>
      </c>
      <c r="D471" t="s">
        <v>1039</v>
      </c>
      <c r="E471" t="s">
        <v>1040</v>
      </c>
      <c r="F471">
        <v>6</v>
      </c>
      <c r="G471">
        <v>3</v>
      </c>
      <c r="H471">
        <v>9</v>
      </c>
      <c r="I471" s="7">
        <v>0</v>
      </c>
      <c r="J471" s="7">
        <v>0</v>
      </c>
      <c r="K471" s="7">
        <f>Parametri!$B$6*I471+Parametri!$B$7*J471</f>
      </c>
      <c r="L471">
        <f>IF(K471&gt;=Parametri!$B$3,3,IF(K471&gt;=Parametri!$B$4,2,1))</f>
      </c>
      <c r="M471" t="s">
        <v>28</v>
      </c>
      <c r="N471" t="s">
        <v>29</v>
      </c>
    </row>
    <row r="472" spans="1:14" x14ac:dyDescent="0.25">
      <c r="A472" s="5" t="s">
        <v>641</v>
      </c>
      <c r="B472" s="5" t="s">
        <v>1038</v>
      </c>
      <c r="C472" s="5" t="s">
        <v>25</v>
      </c>
      <c r="D472" s="5" t="s">
        <v>1041</v>
      </c>
      <c r="E472" s="5" t="s">
        <v>1042</v>
      </c>
      <c r="F472" s="5">
        <v>10</v>
      </c>
      <c r="G472" s="5">
        <v>1</v>
      </c>
      <c r="H472" s="5">
        <v>11</v>
      </c>
      <c r="I472" s="6">
        <v>1</v>
      </c>
      <c r="J472" s="6">
        <v>1</v>
      </c>
      <c r="K472" s="6">
        <f>Parametri!$B$6*I472+Parametri!$B$7*J472</f>
      </c>
      <c r="L472" s="5">
        <f>IF(K472&gt;=Parametri!$B$3,3,IF(K472&gt;=Parametri!$B$4,2,1))</f>
      </c>
      <c r="M472" s="5" t="s">
        <v>28</v>
      </c>
      <c r="N472" s="5" t="s">
        <v>29</v>
      </c>
    </row>
    <row r="473" spans="1:14" x14ac:dyDescent="0.25">
      <c r="A473" t="s">
        <v>641</v>
      </c>
      <c r="B473" t="s">
        <v>1043</v>
      </c>
      <c r="C473" t="s">
        <v>25</v>
      </c>
      <c r="D473" t="s">
        <v>1044</v>
      </c>
      <c r="E473" t="s">
        <v>737</v>
      </c>
      <c r="F473">
        <v>5</v>
      </c>
      <c r="G473">
        <v>2</v>
      </c>
      <c r="H473">
        <v>7</v>
      </c>
      <c r="I473" s="7">
        <v>0</v>
      </c>
      <c r="J473" s="7">
        <v>0</v>
      </c>
      <c r="K473" s="7">
        <f>Parametri!$B$6*I473+Parametri!$B$7*J473</f>
      </c>
      <c r="L473">
        <f>IF(K473&gt;=Parametri!$B$3,3,IF(K473&gt;=Parametri!$B$4,2,1))</f>
      </c>
      <c r="M473" t="s">
        <v>28</v>
      </c>
      <c r="N473" t="s">
        <v>29</v>
      </c>
    </row>
    <row r="474" spans="1:14" x14ac:dyDescent="0.25">
      <c r="A474" s="5" t="s">
        <v>641</v>
      </c>
      <c r="B474" s="5" t="s">
        <v>1043</v>
      </c>
      <c r="C474" s="5" t="s">
        <v>25</v>
      </c>
      <c r="D474" s="5" t="s">
        <v>1045</v>
      </c>
      <c r="E474" s="5" t="s">
        <v>735</v>
      </c>
      <c r="F474" s="5">
        <v>6</v>
      </c>
      <c r="G474" s="5">
        <v>2</v>
      </c>
      <c r="H474" s="5">
        <v>8</v>
      </c>
      <c r="I474" s="6">
        <v>1</v>
      </c>
      <c r="J474" s="6">
        <v>0</v>
      </c>
      <c r="K474" s="6">
        <f>Parametri!$B$6*I474+Parametri!$B$7*J474</f>
      </c>
      <c r="L474" s="5">
        <f>IF(K474&gt;=Parametri!$B$3,3,IF(K474&gt;=Parametri!$B$4,2,1))</f>
      </c>
      <c r="M474" s="5" t="s">
        <v>28</v>
      </c>
      <c r="N474" s="5" t="s">
        <v>29</v>
      </c>
    </row>
    <row r="475" spans="1:14" x14ac:dyDescent="0.25">
      <c r="A475" t="s">
        <v>641</v>
      </c>
      <c r="B475" t="s">
        <v>1046</v>
      </c>
      <c r="C475" t="s">
        <v>25</v>
      </c>
      <c r="D475" t="s">
        <v>1047</v>
      </c>
      <c r="E475" t="s">
        <v>665</v>
      </c>
      <c r="F475">
        <v>7</v>
      </c>
      <c r="G475">
        <v>2</v>
      </c>
      <c r="H475">
        <v>9</v>
      </c>
      <c r="I475" s="7">
        <v>1</v>
      </c>
      <c r="J475" s="7">
        <v>1</v>
      </c>
      <c r="K475" s="7">
        <f>Parametri!$B$6*I475+Parametri!$B$7*J475</f>
      </c>
      <c r="L475">
        <f>IF(K475&gt;=Parametri!$B$3,3,IF(K475&gt;=Parametri!$B$4,2,1))</f>
      </c>
      <c r="M475" t="s">
        <v>28</v>
      </c>
      <c r="N475" t="s">
        <v>29</v>
      </c>
    </row>
    <row r="476" spans="1:14" x14ac:dyDescent="0.25">
      <c r="A476" s="5" t="s">
        <v>641</v>
      </c>
      <c r="B476" s="5" t="s">
        <v>1046</v>
      </c>
      <c r="C476" s="5" t="s">
        <v>25</v>
      </c>
      <c r="D476" s="5" t="s">
        <v>1048</v>
      </c>
      <c r="E476" s="5" t="s">
        <v>1049</v>
      </c>
      <c r="F476" s="5">
        <v>7</v>
      </c>
      <c r="G476" s="5">
        <v>3</v>
      </c>
      <c r="H476" s="5">
        <v>10</v>
      </c>
      <c r="I476" s="6">
        <v>1</v>
      </c>
      <c r="J476" s="6">
        <v>0</v>
      </c>
      <c r="K476" s="6">
        <f>Parametri!$B$6*I476+Parametri!$B$7*J476</f>
      </c>
      <c r="L476" s="5">
        <f>IF(K476&gt;=Parametri!$B$3,3,IF(K476&gt;=Parametri!$B$4,2,1))</f>
      </c>
      <c r="M476" s="5" t="s">
        <v>28</v>
      </c>
      <c r="N476" s="5" t="s">
        <v>29</v>
      </c>
    </row>
    <row r="477" spans="1:14" x14ac:dyDescent="0.25">
      <c r="A477" t="s">
        <v>641</v>
      </c>
      <c r="B477" t="s">
        <v>1050</v>
      </c>
      <c r="C477" t="s">
        <v>25</v>
      </c>
      <c r="D477" t="s">
        <v>1051</v>
      </c>
      <c r="E477" t="s">
        <v>1052</v>
      </c>
      <c r="F477">
        <v>8</v>
      </c>
      <c r="G477">
        <v>2</v>
      </c>
      <c r="H477">
        <v>10</v>
      </c>
      <c r="I477" s="7">
        <v>1</v>
      </c>
      <c r="J477" s="7">
        <v>0</v>
      </c>
      <c r="K477" s="7">
        <f>Parametri!$B$6*I477+Parametri!$B$7*J477</f>
      </c>
      <c r="L477">
        <f>IF(K477&gt;=Parametri!$B$3,3,IF(K477&gt;=Parametri!$B$4,2,1))</f>
      </c>
      <c r="M477" t="s">
        <v>28</v>
      </c>
      <c r="N477" t="s">
        <v>29</v>
      </c>
    </row>
    <row r="478" spans="1:14" x14ac:dyDescent="0.25">
      <c r="A478" s="5" t="s">
        <v>641</v>
      </c>
      <c r="B478" s="5" t="s">
        <v>1050</v>
      </c>
      <c r="C478" s="5" t="s">
        <v>25</v>
      </c>
      <c r="D478" s="5" t="s">
        <v>1053</v>
      </c>
      <c r="E478" s="5" t="s">
        <v>1054</v>
      </c>
      <c r="F478" s="5">
        <v>8</v>
      </c>
      <c r="G478" s="5">
        <v>1</v>
      </c>
      <c r="H478" s="5">
        <v>9</v>
      </c>
      <c r="I478" s="6">
        <v>1</v>
      </c>
      <c r="J478" s="6">
        <v>1</v>
      </c>
      <c r="K478" s="6">
        <f>Parametri!$B$6*I478+Parametri!$B$7*J478</f>
      </c>
      <c r="L478" s="5">
        <f>IF(K478&gt;=Parametri!$B$3,3,IF(K478&gt;=Parametri!$B$4,2,1))</f>
      </c>
      <c r="M478" s="5" t="s">
        <v>28</v>
      </c>
      <c r="N478" s="5" t="s">
        <v>29</v>
      </c>
    </row>
    <row r="479" spans="1:14" x14ac:dyDescent="0.25">
      <c r="A479" t="s">
        <v>641</v>
      </c>
      <c r="B479" t="s">
        <v>1055</v>
      </c>
      <c r="C479" t="s">
        <v>25</v>
      </c>
      <c r="D479" t="s">
        <v>1056</v>
      </c>
      <c r="E479" t="s">
        <v>1057</v>
      </c>
      <c r="F479">
        <v>7</v>
      </c>
      <c r="G479">
        <v>3</v>
      </c>
      <c r="H479">
        <v>10</v>
      </c>
      <c r="I479" s="7">
        <v>1</v>
      </c>
      <c r="J479" s="7">
        <v>0</v>
      </c>
      <c r="K479" s="7">
        <f>Parametri!$B$6*I479+Parametri!$B$7*J479</f>
      </c>
      <c r="L479">
        <f>IF(K479&gt;=Parametri!$B$3,3,IF(K479&gt;=Parametri!$B$4,2,1))</f>
      </c>
      <c r="M479" t="s">
        <v>28</v>
      </c>
      <c r="N479" t="s">
        <v>29</v>
      </c>
    </row>
    <row r="480" spans="1:14" x14ac:dyDescent="0.25">
      <c r="A480" s="5" t="s">
        <v>641</v>
      </c>
      <c r="B480" s="5" t="s">
        <v>1055</v>
      </c>
      <c r="C480" s="5" t="s">
        <v>25</v>
      </c>
      <c r="D480" s="5" t="s">
        <v>1058</v>
      </c>
      <c r="E480" s="5" t="s">
        <v>1059</v>
      </c>
      <c r="F480" s="5">
        <v>6</v>
      </c>
      <c r="G480" s="5">
        <v>3</v>
      </c>
      <c r="H480" s="5">
        <v>9</v>
      </c>
      <c r="I480" s="6">
        <v>0</v>
      </c>
      <c r="J480" s="6">
        <v>0</v>
      </c>
      <c r="K480" s="6">
        <f>Parametri!$B$6*I480+Parametri!$B$7*J480</f>
      </c>
      <c r="L480" s="5">
        <f>IF(K480&gt;=Parametri!$B$3,3,IF(K480&gt;=Parametri!$B$4,2,1))</f>
      </c>
      <c r="M480" s="5" t="s">
        <v>28</v>
      </c>
      <c r="N480" s="5" t="s">
        <v>29</v>
      </c>
    </row>
    <row r="481" spans="1:14" x14ac:dyDescent="0.25">
      <c r="A481" t="s">
        <v>641</v>
      </c>
      <c r="B481" t="s">
        <v>1060</v>
      </c>
      <c r="C481" t="s">
        <v>75</v>
      </c>
      <c r="D481" t="s">
        <v>1061</v>
      </c>
      <c r="E481" t="s">
        <v>1062</v>
      </c>
      <c r="F481">
        <v>12</v>
      </c>
      <c r="G481">
        <v>12</v>
      </c>
      <c r="H481">
        <v>24</v>
      </c>
      <c r="I481" s="7">
        <v>0.4827586206896552</v>
      </c>
      <c r="J481" s="7">
        <v>0.2068965517241379</v>
      </c>
      <c r="K481" s="7">
        <f>Parametri!$B$6*I481+Parametri!$B$7*J481</f>
      </c>
      <c r="L481">
        <f>IF(K481&gt;=Parametri!$B$3,3,IF(K481&gt;=Parametri!$B$4,2,1))</f>
      </c>
      <c r="M481" t="s">
        <v>28</v>
      </c>
      <c r="N481" t="s">
        <v>29</v>
      </c>
    </row>
    <row r="482" spans="1:14" x14ac:dyDescent="0.25">
      <c r="A482" s="5" t="s">
        <v>641</v>
      </c>
      <c r="B482" s="5" t="s">
        <v>1060</v>
      </c>
      <c r="C482" s="5" t="s">
        <v>75</v>
      </c>
      <c r="D482" s="5" t="s">
        <v>1063</v>
      </c>
      <c r="E482" s="5" t="s">
        <v>1064</v>
      </c>
      <c r="F482" s="5">
        <v>18</v>
      </c>
      <c r="G482" s="5">
        <v>11</v>
      </c>
      <c r="H482" s="5">
        <v>29</v>
      </c>
      <c r="I482" s="6">
        <v>0.896551724137931</v>
      </c>
      <c r="J482" s="6">
        <v>0.27586206896551724</v>
      </c>
      <c r="K482" s="6">
        <f>Parametri!$B$6*I482+Parametri!$B$7*J482</f>
      </c>
      <c r="L482" s="5">
        <f>IF(K482&gt;=Parametri!$B$3,3,IF(K482&gt;=Parametri!$B$4,2,1))</f>
      </c>
      <c r="M482" s="5" t="s">
        <v>28</v>
      </c>
      <c r="N482" s="5" t="s">
        <v>29</v>
      </c>
    </row>
    <row r="483" spans="1:14" x14ac:dyDescent="0.25">
      <c r="A483" t="s">
        <v>641</v>
      </c>
      <c r="B483" t="s">
        <v>1060</v>
      </c>
      <c r="C483" t="s">
        <v>75</v>
      </c>
      <c r="D483" t="s">
        <v>1065</v>
      </c>
      <c r="E483" t="s">
        <v>1066</v>
      </c>
      <c r="F483">
        <v>13</v>
      </c>
      <c r="G483">
        <v>15</v>
      </c>
      <c r="H483">
        <v>28</v>
      </c>
      <c r="I483" s="7">
        <v>0.5517241379310345</v>
      </c>
      <c r="J483" s="7">
        <v>0.03448275862068961</v>
      </c>
      <c r="K483" s="7">
        <f>Parametri!$B$6*I483+Parametri!$B$7*J483</f>
      </c>
      <c r="L483">
        <f>IF(K483&gt;=Parametri!$B$3,3,IF(K483&gt;=Parametri!$B$4,2,1))</f>
      </c>
      <c r="M483" t="s">
        <v>28</v>
      </c>
      <c r="N483" t="s">
        <v>29</v>
      </c>
    </row>
    <row r="484" spans="1:14" x14ac:dyDescent="0.25">
      <c r="A484" s="5" t="s">
        <v>641</v>
      </c>
      <c r="B484" s="5" t="s">
        <v>1060</v>
      </c>
      <c r="C484" s="5" t="s">
        <v>75</v>
      </c>
      <c r="D484" s="5" t="s">
        <v>1067</v>
      </c>
      <c r="E484" s="5" t="s">
        <v>1068</v>
      </c>
      <c r="F484" s="5">
        <v>13</v>
      </c>
      <c r="G484" s="5">
        <v>11</v>
      </c>
      <c r="H484" s="5">
        <v>24</v>
      </c>
      <c r="I484" s="6">
        <v>0.5517241379310345</v>
      </c>
      <c r="J484" s="6">
        <v>0.27586206896551724</v>
      </c>
      <c r="K484" s="6">
        <f>Parametri!$B$6*I484+Parametri!$B$7*J484</f>
      </c>
      <c r="L484" s="5">
        <f>IF(K484&gt;=Parametri!$B$3,3,IF(K484&gt;=Parametri!$B$4,2,1))</f>
      </c>
      <c r="M484" s="5" t="s">
        <v>28</v>
      </c>
      <c r="N484" s="5" t="s">
        <v>29</v>
      </c>
    </row>
    <row r="485" spans="1:14" x14ac:dyDescent="0.25">
      <c r="A485" t="s">
        <v>641</v>
      </c>
      <c r="B485" t="s">
        <v>1060</v>
      </c>
      <c r="C485" t="s">
        <v>75</v>
      </c>
      <c r="D485" t="s">
        <v>1069</v>
      </c>
      <c r="E485" t="s">
        <v>1070</v>
      </c>
      <c r="F485">
        <v>15</v>
      </c>
      <c r="G485">
        <v>12</v>
      </c>
      <c r="H485">
        <v>27</v>
      </c>
      <c r="I485" s="7">
        <v>0.6896551724137931</v>
      </c>
      <c r="J485" s="7">
        <v>0.2068965517241379</v>
      </c>
      <c r="K485" s="7">
        <f>Parametri!$B$6*I485+Parametri!$B$7*J485</f>
      </c>
      <c r="L485">
        <f>IF(K485&gt;=Parametri!$B$3,3,IF(K485&gt;=Parametri!$B$4,2,1))</f>
      </c>
      <c r="M485" t="s">
        <v>28</v>
      </c>
      <c r="N485" t="s">
        <v>29</v>
      </c>
    </row>
    <row r="486" spans="1:14" x14ac:dyDescent="0.25">
      <c r="A486" s="5" t="s">
        <v>641</v>
      </c>
      <c r="B486" s="5" t="s">
        <v>1060</v>
      </c>
      <c r="C486" s="5" t="s">
        <v>75</v>
      </c>
      <c r="D486" s="5" t="s">
        <v>1071</v>
      </c>
      <c r="E486" s="5" t="s">
        <v>1072</v>
      </c>
      <c r="F486" s="5">
        <v>10</v>
      </c>
      <c r="G486" s="5">
        <v>11</v>
      </c>
      <c r="H486" s="5">
        <v>21</v>
      </c>
      <c r="I486" s="6">
        <v>0.27586206896551724</v>
      </c>
      <c r="J486" s="6">
        <v>0.27586206896551724</v>
      </c>
      <c r="K486" s="6">
        <f>Parametri!$B$6*I486+Parametri!$B$7*J486</f>
      </c>
      <c r="L486" s="5">
        <f>IF(K486&gt;=Parametri!$B$3,3,IF(K486&gt;=Parametri!$B$4,2,1))</f>
      </c>
      <c r="M486" s="5" t="s">
        <v>28</v>
      </c>
      <c r="N486" s="5" t="s">
        <v>29</v>
      </c>
    </row>
    <row r="487" spans="1:14" x14ac:dyDescent="0.25">
      <c r="A487" t="s">
        <v>641</v>
      </c>
      <c r="B487" t="s">
        <v>1060</v>
      </c>
      <c r="C487" t="s">
        <v>75</v>
      </c>
      <c r="D487" t="s">
        <v>1073</v>
      </c>
      <c r="E487" t="s">
        <v>1074</v>
      </c>
      <c r="F487">
        <v>16</v>
      </c>
      <c r="G487">
        <v>3</v>
      </c>
      <c r="H487">
        <v>19</v>
      </c>
      <c r="I487" s="7">
        <v>0.7241379310344828</v>
      </c>
      <c r="J487" s="7">
        <v>0.7931034482758621</v>
      </c>
      <c r="K487" s="7">
        <f>Parametri!$B$6*I487+Parametri!$B$7*J487</f>
      </c>
      <c r="L487">
        <f>IF(K487&gt;=Parametri!$B$3,3,IF(K487&gt;=Parametri!$B$4,2,1))</f>
      </c>
      <c r="M487" t="s">
        <v>28</v>
      </c>
      <c r="N487" t="s">
        <v>29</v>
      </c>
    </row>
    <row r="488" spans="1:14" x14ac:dyDescent="0.25">
      <c r="A488" s="5" t="s">
        <v>641</v>
      </c>
      <c r="B488" s="5" t="s">
        <v>1060</v>
      </c>
      <c r="C488" s="5" t="s">
        <v>75</v>
      </c>
      <c r="D488" s="5" t="s">
        <v>1075</v>
      </c>
      <c r="E488" s="5" t="s">
        <v>1076</v>
      </c>
      <c r="F488" s="5">
        <v>8</v>
      </c>
      <c r="G488" s="5">
        <v>14</v>
      </c>
      <c r="H488" s="5">
        <v>22</v>
      </c>
      <c r="I488" s="6">
        <v>0.10344827586206896</v>
      </c>
      <c r="J488" s="6">
        <v>0.06896551724137934</v>
      </c>
      <c r="K488" s="6">
        <f>Parametri!$B$6*I488+Parametri!$B$7*J488</f>
      </c>
      <c r="L488" s="5">
        <f>IF(K488&gt;=Parametri!$B$3,3,IF(K488&gt;=Parametri!$B$4,2,1))</f>
      </c>
      <c r="M488" s="5" t="s">
        <v>28</v>
      </c>
      <c r="N488" s="5" t="s">
        <v>29</v>
      </c>
    </row>
    <row r="489" spans="1:14" x14ac:dyDescent="0.25">
      <c r="A489" t="s">
        <v>641</v>
      </c>
      <c r="B489" t="s">
        <v>1060</v>
      </c>
      <c r="C489" t="s">
        <v>75</v>
      </c>
      <c r="D489" t="s">
        <v>1077</v>
      </c>
      <c r="E489" t="s">
        <v>1078</v>
      </c>
      <c r="F489">
        <v>9</v>
      </c>
      <c r="G489">
        <v>11</v>
      </c>
      <c r="H489">
        <v>20</v>
      </c>
      <c r="I489" s="7">
        <v>0.20689655172413793</v>
      </c>
      <c r="J489" s="7">
        <v>0.27586206896551724</v>
      </c>
      <c r="K489" s="7">
        <f>Parametri!$B$6*I489+Parametri!$B$7*J489</f>
      </c>
      <c r="L489">
        <f>IF(K489&gt;=Parametri!$B$3,3,IF(K489&gt;=Parametri!$B$4,2,1))</f>
      </c>
      <c r="M489" t="s">
        <v>28</v>
      </c>
      <c r="N489" t="s">
        <v>29</v>
      </c>
    </row>
    <row r="490" spans="1:14" x14ac:dyDescent="0.25">
      <c r="A490" s="5" t="s">
        <v>641</v>
      </c>
      <c r="B490" s="5" t="s">
        <v>1060</v>
      </c>
      <c r="C490" s="5" t="s">
        <v>75</v>
      </c>
      <c r="D490" s="5" t="s">
        <v>1079</v>
      </c>
      <c r="E490" s="5" t="s">
        <v>1080</v>
      </c>
      <c r="F490" s="5">
        <v>12</v>
      </c>
      <c r="G490" s="5">
        <v>4</v>
      </c>
      <c r="H490" s="5">
        <v>16</v>
      </c>
      <c r="I490" s="6">
        <v>0.4827586206896552</v>
      </c>
      <c r="J490" s="6">
        <v>0.7241379310344828</v>
      </c>
      <c r="K490" s="6">
        <f>Parametri!$B$6*I490+Parametri!$B$7*J490</f>
      </c>
      <c r="L490" s="5">
        <f>IF(K490&gt;=Parametri!$B$3,3,IF(K490&gt;=Parametri!$B$4,2,1))</f>
      </c>
      <c r="M490" s="5" t="s">
        <v>28</v>
      </c>
      <c r="N490" s="5" t="s">
        <v>29</v>
      </c>
    </row>
    <row r="491" spans="1:14" x14ac:dyDescent="0.25">
      <c r="A491" t="s">
        <v>641</v>
      </c>
      <c r="B491" t="s">
        <v>1060</v>
      </c>
      <c r="C491" t="s">
        <v>75</v>
      </c>
      <c r="D491" t="s">
        <v>1081</v>
      </c>
      <c r="E491" t="s">
        <v>1082</v>
      </c>
      <c r="F491">
        <v>11</v>
      </c>
      <c r="G491">
        <v>2</v>
      </c>
      <c r="H491">
        <v>13</v>
      </c>
      <c r="I491" s="7">
        <v>0.3793103448275862</v>
      </c>
      <c r="J491" s="7">
        <v>0.896551724137931</v>
      </c>
      <c r="K491" s="7">
        <f>Parametri!$B$6*I491+Parametri!$B$7*J491</f>
      </c>
      <c r="L491">
        <f>IF(K491&gt;=Parametri!$B$3,3,IF(K491&gt;=Parametri!$B$4,2,1))</f>
      </c>
      <c r="M491" t="s">
        <v>28</v>
      </c>
      <c r="N491" t="s">
        <v>29</v>
      </c>
    </row>
    <row r="492" spans="1:14" x14ac:dyDescent="0.25">
      <c r="A492" s="5" t="s">
        <v>641</v>
      </c>
      <c r="B492" s="5" t="s">
        <v>1060</v>
      </c>
      <c r="C492" s="5" t="s">
        <v>75</v>
      </c>
      <c r="D492" s="5" t="s">
        <v>1083</v>
      </c>
      <c r="E492" s="5" t="s">
        <v>1084</v>
      </c>
      <c r="F492" s="5">
        <v>8</v>
      </c>
      <c r="G492" s="5">
        <v>8</v>
      </c>
      <c r="H492" s="5">
        <v>16</v>
      </c>
      <c r="I492" s="6">
        <v>0.10344827586206896</v>
      </c>
      <c r="J492" s="6">
        <v>0.5172413793103448</v>
      </c>
      <c r="K492" s="6">
        <f>Parametri!$B$6*I492+Parametri!$B$7*J492</f>
      </c>
      <c r="L492" s="5">
        <f>IF(K492&gt;=Parametri!$B$3,3,IF(K492&gt;=Parametri!$B$4,2,1))</f>
      </c>
      <c r="M492" s="5" t="s">
        <v>28</v>
      </c>
      <c r="N492" s="5" t="s">
        <v>29</v>
      </c>
    </row>
    <row r="493" spans="1:14" x14ac:dyDescent="0.25">
      <c r="A493" t="s">
        <v>641</v>
      </c>
      <c r="B493" t="s">
        <v>1060</v>
      </c>
      <c r="C493" t="s">
        <v>75</v>
      </c>
      <c r="D493" t="s">
        <v>1085</v>
      </c>
      <c r="E493" t="s">
        <v>1086</v>
      </c>
      <c r="F493">
        <v>17</v>
      </c>
      <c r="G493">
        <v>9</v>
      </c>
      <c r="H493">
        <v>26</v>
      </c>
      <c r="I493" s="7">
        <v>0.8275862068965517</v>
      </c>
      <c r="J493" s="7">
        <v>0.48275862068965514</v>
      </c>
      <c r="K493" s="7">
        <f>Parametri!$B$6*I493+Parametri!$B$7*J493</f>
      </c>
      <c r="L493">
        <f>IF(K493&gt;=Parametri!$B$3,3,IF(K493&gt;=Parametri!$B$4,2,1))</f>
      </c>
      <c r="M493" t="s">
        <v>28</v>
      </c>
      <c r="N493" t="s">
        <v>29</v>
      </c>
    </row>
    <row r="494" spans="1:14" x14ac:dyDescent="0.25">
      <c r="A494" s="5" t="s">
        <v>641</v>
      </c>
      <c r="B494" s="5" t="s">
        <v>1060</v>
      </c>
      <c r="C494" s="5" t="s">
        <v>75</v>
      </c>
      <c r="D494" s="5" t="s">
        <v>1087</v>
      </c>
      <c r="E494" s="5" t="s">
        <v>1088</v>
      </c>
      <c r="F494" s="5">
        <v>12</v>
      </c>
      <c r="G494" s="5">
        <v>3</v>
      </c>
      <c r="H494" s="5">
        <v>15</v>
      </c>
      <c r="I494" s="6">
        <v>0.4827586206896552</v>
      </c>
      <c r="J494" s="6">
        <v>0.7931034482758621</v>
      </c>
      <c r="K494" s="6">
        <f>Parametri!$B$6*I494+Parametri!$B$7*J494</f>
      </c>
      <c r="L494" s="5">
        <f>IF(K494&gt;=Parametri!$B$3,3,IF(K494&gt;=Parametri!$B$4,2,1))</f>
      </c>
      <c r="M494" s="5" t="s">
        <v>28</v>
      </c>
      <c r="N494" s="5" t="s">
        <v>29</v>
      </c>
    </row>
    <row r="495" spans="1:14" x14ac:dyDescent="0.25">
      <c r="A495" t="s">
        <v>641</v>
      </c>
      <c r="B495" t="s">
        <v>1060</v>
      </c>
      <c r="C495" t="s">
        <v>75</v>
      </c>
      <c r="D495" t="s">
        <v>1089</v>
      </c>
      <c r="E495" t="s">
        <v>1090</v>
      </c>
      <c r="F495">
        <v>17</v>
      </c>
      <c r="G495">
        <v>3</v>
      </c>
      <c r="H495">
        <v>20</v>
      </c>
      <c r="I495" s="7">
        <v>0.8275862068965517</v>
      </c>
      <c r="J495" s="7">
        <v>0.7931034482758621</v>
      </c>
      <c r="K495" s="7">
        <f>Parametri!$B$6*I495+Parametri!$B$7*J495</f>
      </c>
      <c r="L495">
        <f>IF(K495&gt;=Parametri!$B$3,3,IF(K495&gt;=Parametri!$B$4,2,1))</f>
      </c>
      <c r="M495" t="s">
        <v>28</v>
      </c>
      <c r="N495" t="s">
        <v>29</v>
      </c>
    </row>
    <row r="496" spans="1:14" x14ac:dyDescent="0.25">
      <c r="A496" s="5" t="s">
        <v>641</v>
      </c>
      <c r="B496" s="5" t="s">
        <v>1060</v>
      </c>
      <c r="C496" s="5" t="s">
        <v>75</v>
      </c>
      <c r="D496" s="5" t="s">
        <v>1091</v>
      </c>
      <c r="E496" s="5" t="s">
        <v>1092</v>
      </c>
      <c r="F496" s="5">
        <v>21</v>
      </c>
      <c r="G496" s="5">
        <v>5</v>
      </c>
      <c r="H496" s="5">
        <v>26</v>
      </c>
      <c r="I496" s="6">
        <v>1</v>
      </c>
      <c r="J496" s="6">
        <v>0.6551724137931034</v>
      </c>
      <c r="K496" s="6">
        <f>Parametri!$B$6*I496+Parametri!$B$7*J496</f>
      </c>
      <c r="L496" s="5">
        <f>IF(K496&gt;=Parametri!$B$3,3,IF(K496&gt;=Parametri!$B$4,2,1))</f>
      </c>
      <c r="M496" s="5" t="s">
        <v>28</v>
      </c>
      <c r="N496" s="5" t="s">
        <v>29</v>
      </c>
    </row>
    <row r="497" spans="1:14" x14ac:dyDescent="0.25">
      <c r="A497" t="s">
        <v>641</v>
      </c>
      <c r="B497" t="s">
        <v>1060</v>
      </c>
      <c r="C497" t="s">
        <v>75</v>
      </c>
      <c r="D497" t="s">
        <v>1093</v>
      </c>
      <c r="E497" t="s">
        <v>1094</v>
      </c>
      <c r="F497">
        <v>20</v>
      </c>
      <c r="G497">
        <v>2</v>
      </c>
      <c r="H497">
        <v>22</v>
      </c>
      <c r="I497" s="7">
        <v>0.9655172413793104</v>
      </c>
      <c r="J497" s="7">
        <v>0.896551724137931</v>
      </c>
      <c r="K497" s="7">
        <f>Parametri!$B$6*I497+Parametri!$B$7*J497</f>
      </c>
      <c r="L497">
        <f>IF(K497&gt;=Parametri!$B$3,3,IF(K497&gt;=Parametri!$B$4,2,1))</f>
      </c>
      <c r="M497" t="s">
        <v>28</v>
      </c>
      <c r="N497" t="s">
        <v>29</v>
      </c>
    </row>
    <row r="498" spans="1:14" x14ac:dyDescent="0.25">
      <c r="A498" s="5" t="s">
        <v>641</v>
      </c>
      <c r="B498" s="5" t="s">
        <v>1060</v>
      </c>
      <c r="C498" s="5" t="s">
        <v>75</v>
      </c>
      <c r="D498" s="5" t="s">
        <v>1095</v>
      </c>
      <c r="E498" s="5" t="s">
        <v>1096</v>
      </c>
      <c r="F498" s="5">
        <v>15</v>
      </c>
      <c r="G498" s="5">
        <v>16</v>
      </c>
      <c r="H498" s="5">
        <v>31</v>
      </c>
      <c r="I498" s="6">
        <v>0.6896551724137931</v>
      </c>
      <c r="J498" s="6">
        <v>0</v>
      </c>
      <c r="K498" s="6">
        <f>Parametri!$B$6*I498+Parametri!$B$7*J498</f>
      </c>
      <c r="L498" s="5">
        <f>IF(K498&gt;=Parametri!$B$3,3,IF(K498&gt;=Parametri!$B$4,2,1))</f>
      </c>
      <c r="M498" s="5" t="s">
        <v>28</v>
      </c>
      <c r="N498" s="5" t="s">
        <v>29</v>
      </c>
    </row>
    <row r="499" spans="1:14" x14ac:dyDescent="0.25">
      <c r="A499" t="s">
        <v>641</v>
      </c>
      <c r="B499" t="s">
        <v>1060</v>
      </c>
      <c r="C499" t="s">
        <v>75</v>
      </c>
      <c r="D499" t="s">
        <v>1097</v>
      </c>
      <c r="E499" t="s">
        <v>1098</v>
      </c>
      <c r="F499">
        <v>10</v>
      </c>
      <c r="G499">
        <v>11</v>
      </c>
      <c r="H499">
        <v>21</v>
      </c>
      <c r="I499" s="7">
        <v>0.27586206896551724</v>
      </c>
      <c r="J499" s="7">
        <v>0.27586206896551724</v>
      </c>
      <c r="K499" s="7">
        <f>Parametri!$B$6*I499+Parametri!$B$7*J499</f>
      </c>
      <c r="L499">
        <f>IF(K499&gt;=Parametri!$B$3,3,IF(K499&gt;=Parametri!$B$4,2,1))</f>
      </c>
      <c r="M499" t="s">
        <v>28</v>
      </c>
      <c r="N499" t="s">
        <v>29</v>
      </c>
    </row>
    <row r="500" spans="1:14" x14ac:dyDescent="0.25">
      <c r="A500" s="5" t="s">
        <v>641</v>
      </c>
      <c r="B500" s="5" t="s">
        <v>1060</v>
      </c>
      <c r="C500" s="5" t="s">
        <v>75</v>
      </c>
      <c r="D500" s="5" t="s">
        <v>1099</v>
      </c>
      <c r="E500" s="5" t="s">
        <v>1100</v>
      </c>
      <c r="F500" s="5">
        <v>11</v>
      </c>
      <c r="G500" s="5">
        <v>8</v>
      </c>
      <c r="H500" s="5">
        <v>19</v>
      </c>
      <c r="I500" s="6">
        <v>0.3793103448275862</v>
      </c>
      <c r="J500" s="6">
        <v>0.5172413793103448</v>
      </c>
      <c r="K500" s="6">
        <f>Parametri!$B$6*I500+Parametri!$B$7*J500</f>
      </c>
      <c r="L500" s="5">
        <f>IF(K500&gt;=Parametri!$B$3,3,IF(K500&gt;=Parametri!$B$4,2,1))</f>
      </c>
      <c r="M500" s="5" t="s">
        <v>28</v>
      </c>
      <c r="N500" s="5" t="s">
        <v>29</v>
      </c>
    </row>
    <row r="501" spans="1:14" x14ac:dyDescent="0.25">
      <c r="A501" t="s">
        <v>641</v>
      </c>
      <c r="B501" t="s">
        <v>1060</v>
      </c>
      <c r="C501" t="s">
        <v>75</v>
      </c>
      <c r="D501" t="s">
        <v>1101</v>
      </c>
      <c r="E501" t="s">
        <v>1102</v>
      </c>
      <c r="F501">
        <v>14</v>
      </c>
      <c r="G501">
        <v>7</v>
      </c>
      <c r="H501">
        <v>21</v>
      </c>
      <c r="I501" s="7">
        <v>0.6206896551724138</v>
      </c>
      <c r="J501" s="7">
        <v>0.6206896551724138</v>
      </c>
      <c r="K501" s="7">
        <f>Parametri!$B$6*I501+Parametri!$B$7*J501</f>
      </c>
      <c r="L501">
        <f>IF(K501&gt;=Parametri!$B$3,3,IF(K501&gt;=Parametri!$B$4,2,1))</f>
      </c>
      <c r="M501" t="s">
        <v>28</v>
      </c>
      <c r="N501" t="s">
        <v>29</v>
      </c>
    </row>
    <row r="502" spans="1:14" x14ac:dyDescent="0.25">
      <c r="A502" s="5" t="s">
        <v>641</v>
      </c>
      <c r="B502" s="5" t="s">
        <v>1060</v>
      </c>
      <c r="C502" s="5" t="s">
        <v>75</v>
      </c>
      <c r="D502" s="5" t="s">
        <v>1103</v>
      </c>
      <c r="E502" s="5" t="s">
        <v>1104</v>
      </c>
      <c r="F502" s="5">
        <v>8</v>
      </c>
      <c r="G502" s="5">
        <v>10</v>
      </c>
      <c r="H502" s="5">
        <v>18</v>
      </c>
      <c r="I502" s="6">
        <v>0.10344827586206896</v>
      </c>
      <c r="J502" s="6">
        <v>0.4482758620689655</v>
      </c>
      <c r="K502" s="6">
        <f>Parametri!$B$6*I502+Parametri!$B$7*J502</f>
      </c>
      <c r="L502" s="5">
        <f>IF(K502&gt;=Parametri!$B$3,3,IF(K502&gt;=Parametri!$B$4,2,1))</f>
      </c>
      <c r="M502" s="5" t="s">
        <v>28</v>
      </c>
      <c r="N502" s="5" t="s">
        <v>29</v>
      </c>
    </row>
    <row r="503" spans="1:14" x14ac:dyDescent="0.25">
      <c r="A503" t="s">
        <v>641</v>
      </c>
      <c r="B503" t="s">
        <v>1060</v>
      </c>
      <c r="C503" t="s">
        <v>75</v>
      </c>
      <c r="D503" t="s">
        <v>1105</v>
      </c>
      <c r="E503" t="s">
        <v>1106</v>
      </c>
      <c r="F503">
        <v>14</v>
      </c>
      <c r="G503">
        <v>5</v>
      </c>
      <c r="H503">
        <v>19</v>
      </c>
      <c r="I503" s="7">
        <v>0.6206896551724138</v>
      </c>
      <c r="J503" s="7">
        <v>0.6551724137931034</v>
      </c>
      <c r="K503" s="7">
        <f>Parametri!$B$6*I503+Parametri!$B$7*J503</f>
      </c>
      <c r="L503">
        <f>IF(K503&gt;=Parametri!$B$3,3,IF(K503&gt;=Parametri!$B$4,2,1))</f>
      </c>
      <c r="M503" t="s">
        <v>28</v>
      </c>
      <c r="N503" t="s">
        <v>29</v>
      </c>
    </row>
    <row r="504" spans="1:14" x14ac:dyDescent="0.25">
      <c r="A504" s="5" t="s">
        <v>641</v>
      </c>
      <c r="B504" s="5" t="s">
        <v>1060</v>
      </c>
      <c r="C504" s="5" t="s">
        <v>75</v>
      </c>
      <c r="D504" s="5" t="s">
        <v>1107</v>
      </c>
      <c r="E504" s="5" t="s">
        <v>1108</v>
      </c>
      <c r="F504" s="5">
        <v>8</v>
      </c>
      <c r="G504" s="5">
        <v>14</v>
      </c>
      <c r="H504" s="5">
        <v>22</v>
      </c>
      <c r="I504" s="6">
        <v>0.10344827586206896</v>
      </c>
      <c r="J504" s="6">
        <v>0.06896551724137934</v>
      </c>
      <c r="K504" s="6">
        <f>Parametri!$B$6*I504+Parametri!$B$7*J504</f>
      </c>
      <c r="L504" s="5">
        <f>IF(K504&gt;=Parametri!$B$3,3,IF(K504&gt;=Parametri!$B$4,2,1))</f>
      </c>
      <c r="M504" s="5" t="s">
        <v>28</v>
      </c>
      <c r="N504" s="5" t="s">
        <v>29</v>
      </c>
    </row>
    <row r="505" spans="1:14" x14ac:dyDescent="0.25">
      <c r="A505" t="s">
        <v>641</v>
      </c>
      <c r="B505" t="s">
        <v>1060</v>
      </c>
      <c r="C505" t="s">
        <v>75</v>
      </c>
      <c r="D505" t="s">
        <v>1109</v>
      </c>
      <c r="E505" t="s">
        <v>1110</v>
      </c>
      <c r="F505">
        <v>9</v>
      </c>
      <c r="G505">
        <v>13</v>
      </c>
      <c r="H505">
        <v>22</v>
      </c>
      <c r="I505" s="7">
        <v>0.20689655172413793</v>
      </c>
      <c r="J505" s="7">
        <v>0.1724137931034483</v>
      </c>
      <c r="K505" s="7">
        <f>Parametri!$B$6*I505+Parametri!$B$7*J505</f>
      </c>
      <c r="L505">
        <f>IF(K505&gt;=Parametri!$B$3,3,IF(K505&gt;=Parametri!$B$4,2,1))</f>
      </c>
      <c r="M505" t="s">
        <v>28</v>
      </c>
      <c r="N505" t="s">
        <v>29</v>
      </c>
    </row>
    <row r="506" spans="1:14" x14ac:dyDescent="0.25">
      <c r="A506" s="5" t="s">
        <v>641</v>
      </c>
      <c r="B506" s="5" t="s">
        <v>1060</v>
      </c>
      <c r="C506" s="5" t="s">
        <v>75</v>
      </c>
      <c r="D506" s="5" t="s">
        <v>1111</v>
      </c>
      <c r="E506" s="5" t="s">
        <v>1112</v>
      </c>
      <c r="F506" s="5">
        <v>11</v>
      </c>
      <c r="G506" s="5">
        <v>8</v>
      </c>
      <c r="H506" s="5">
        <v>19</v>
      </c>
      <c r="I506" s="6">
        <v>0.3793103448275862</v>
      </c>
      <c r="J506" s="6">
        <v>0.5172413793103448</v>
      </c>
      <c r="K506" s="6">
        <f>Parametri!$B$6*I506+Parametri!$B$7*J506</f>
      </c>
      <c r="L506" s="5">
        <f>IF(K506&gt;=Parametri!$B$3,3,IF(K506&gt;=Parametri!$B$4,2,1))</f>
      </c>
      <c r="M506" s="5" t="s">
        <v>28</v>
      </c>
      <c r="N506" s="5" t="s">
        <v>29</v>
      </c>
    </row>
    <row r="507" spans="1:14" x14ac:dyDescent="0.25">
      <c r="A507" t="s">
        <v>641</v>
      </c>
      <c r="B507" t="s">
        <v>1060</v>
      </c>
      <c r="C507" t="s">
        <v>75</v>
      </c>
      <c r="D507" t="s">
        <v>1113</v>
      </c>
      <c r="E507" t="s">
        <v>1114</v>
      </c>
      <c r="F507">
        <v>18</v>
      </c>
      <c r="G507">
        <v>2</v>
      </c>
      <c r="H507">
        <v>20</v>
      </c>
      <c r="I507" s="7">
        <v>0.896551724137931</v>
      </c>
      <c r="J507" s="7">
        <v>0.896551724137931</v>
      </c>
      <c r="K507" s="7">
        <f>Parametri!$B$6*I507+Parametri!$B$7*J507</f>
      </c>
      <c r="L507">
        <f>IF(K507&gt;=Parametri!$B$3,3,IF(K507&gt;=Parametri!$B$4,2,1))</f>
      </c>
      <c r="M507" t="s">
        <v>28</v>
      </c>
      <c r="N507" t="s">
        <v>29</v>
      </c>
    </row>
    <row r="508" spans="1:14" x14ac:dyDescent="0.25">
      <c r="A508" s="5" t="s">
        <v>641</v>
      </c>
      <c r="B508" s="5" t="s">
        <v>1060</v>
      </c>
      <c r="C508" s="5" t="s">
        <v>75</v>
      </c>
      <c r="D508" s="5" t="s">
        <v>1115</v>
      </c>
      <c r="E508" s="5" t="s">
        <v>1116</v>
      </c>
      <c r="F508" s="5">
        <v>9</v>
      </c>
      <c r="G508" s="5">
        <v>14</v>
      </c>
      <c r="H508" s="5">
        <v>23</v>
      </c>
      <c r="I508" s="6">
        <v>0.20689655172413793</v>
      </c>
      <c r="J508" s="6">
        <v>0.06896551724137934</v>
      </c>
      <c r="K508" s="6">
        <f>Parametri!$B$6*I508+Parametri!$B$7*J508</f>
      </c>
      <c r="L508" s="5">
        <f>IF(K508&gt;=Parametri!$B$3,3,IF(K508&gt;=Parametri!$B$4,2,1))</f>
      </c>
      <c r="M508" s="5" t="s">
        <v>28</v>
      </c>
      <c r="N508" s="5" t="s">
        <v>29</v>
      </c>
    </row>
    <row r="509" spans="1:14" x14ac:dyDescent="0.25">
      <c r="A509" t="s">
        <v>641</v>
      </c>
      <c r="B509" t="s">
        <v>1060</v>
      </c>
      <c r="C509" t="s">
        <v>75</v>
      </c>
      <c r="D509" t="s">
        <v>1117</v>
      </c>
      <c r="E509" t="s">
        <v>1118</v>
      </c>
      <c r="F509">
        <v>17</v>
      </c>
      <c r="G509">
        <v>4</v>
      </c>
      <c r="H509">
        <v>21</v>
      </c>
      <c r="I509" s="7">
        <v>0.8275862068965517</v>
      </c>
      <c r="J509" s="7">
        <v>0.7241379310344828</v>
      </c>
      <c r="K509" s="7">
        <f>Parametri!$B$6*I509+Parametri!$B$7*J509</f>
      </c>
      <c r="L509">
        <f>IF(K509&gt;=Parametri!$B$3,3,IF(K509&gt;=Parametri!$B$4,2,1))</f>
      </c>
      <c r="M509" t="s">
        <v>28</v>
      </c>
      <c r="N509" t="s">
        <v>29</v>
      </c>
    </row>
    <row r="510" spans="1:14" x14ac:dyDescent="0.25">
      <c r="A510" s="5" t="s">
        <v>641</v>
      </c>
      <c r="B510" s="5" t="s">
        <v>1060</v>
      </c>
      <c r="C510" s="5" t="s">
        <v>75</v>
      </c>
      <c r="D510" s="5" t="s">
        <v>1119</v>
      </c>
      <c r="E510" s="5" t="s">
        <v>1120</v>
      </c>
      <c r="F510" s="5">
        <v>20</v>
      </c>
      <c r="G510" s="5">
        <v>2</v>
      </c>
      <c r="H510" s="5">
        <v>22</v>
      </c>
      <c r="I510" s="6">
        <v>0.9655172413793104</v>
      </c>
      <c r="J510" s="6">
        <v>0.896551724137931</v>
      </c>
      <c r="K510" s="6">
        <f>Parametri!$B$6*I510+Parametri!$B$7*J510</f>
      </c>
      <c r="L510" s="5">
        <f>IF(K510&gt;=Parametri!$B$3,3,IF(K510&gt;=Parametri!$B$4,2,1))</f>
      </c>
      <c r="M510" s="5" t="s">
        <v>28</v>
      </c>
      <c r="N510" s="5" t="s">
        <v>29</v>
      </c>
    </row>
    <row r="511" spans="1:14" x14ac:dyDescent="0.25">
      <c r="A511" t="s">
        <v>641</v>
      </c>
      <c r="B511" t="s">
        <v>1121</v>
      </c>
      <c r="C511" t="s">
        <v>25</v>
      </c>
      <c r="D511" t="s">
        <v>1122</v>
      </c>
      <c r="E511" t="s">
        <v>1123</v>
      </c>
      <c r="F511">
        <v>7</v>
      </c>
      <c r="G511">
        <v>0</v>
      </c>
      <c r="H511">
        <v>7</v>
      </c>
      <c r="I511" s="7">
        <v>1</v>
      </c>
      <c r="J511" s="7">
        <v>1</v>
      </c>
      <c r="K511" s="7">
        <f>Parametri!$B$6*I511+Parametri!$B$7*J511</f>
      </c>
      <c r="L511">
        <f>IF(K511&gt;=Parametri!$B$3,3,IF(K511&gt;=Parametri!$B$4,2,1))</f>
      </c>
      <c r="M511" t="s">
        <v>28</v>
      </c>
      <c r="N511" t="s">
        <v>29</v>
      </c>
    </row>
    <row r="512" spans="1:14" x14ac:dyDescent="0.25">
      <c r="A512" s="5" t="s">
        <v>641</v>
      </c>
      <c r="B512" s="5" t="s">
        <v>1121</v>
      </c>
      <c r="C512" s="5" t="s">
        <v>25</v>
      </c>
      <c r="D512" s="5" t="s">
        <v>1124</v>
      </c>
      <c r="E512" s="5" t="s">
        <v>1125</v>
      </c>
      <c r="F512" s="5">
        <v>6</v>
      </c>
      <c r="G512" s="5">
        <v>2</v>
      </c>
      <c r="H512" s="5">
        <v>8</v>
      </c>
      <c r="I512" s="6">
        <v>0</v>
      </c>
      <c r="J512" s="6">
        <v>0</v>
      </c>
      <c r="K512" s="6">
        <f>Parametri!$B$6*I512+Parametri!$B$7*J512</f>
      </c>
      <c r="L512" s="5">
        <f>IF(K512&gt;=Parametri!$B$3,3,IF(K512&gt;=Parametri!$B$4,2,1))</f>
      </c>
      <c r="M512" s="5" t="s">
        <v>28</v>
      </c>
      <c r="N512" s="5" t="s">
        <v>29</v>
      </c>
    </row>
    <row r="513" spans="1:14" x14ac:dyDescent="0.25">
      <c r="A513" t="s">
        <v>641</v>
      </c>
      <c r="B513" t="s">
        <v>1126</v>
      </c>
      <c r="C513" t="s">
        <v>25</v>
      </c>
      <c r="D513" t="s">
        <v>1127</v>
      </c>
      <c r="E513" t="s">
        <v>1128</v>
      </c>
      <c r="F513">
        <v>5</v>
      </c>
      <c r="G513">
        <v>2</v>
      </c>
      <c r="H513">
        <v>7</v>
      </c>
      <c r="I513" s="7">
        <v>1</v>
      </c>
      <c r="J513" s="7">
        <v>1</v>
      </c>
      <c r="K513" s="7">
        <f>Parametri!$B$6*I513+Parametri!$B$7*J513</f>
      </c>
      <c r="L513">
        <f>IF(K513&gt;=Parametri!$B$3,3,IF(K513&gt;=Parametri!$B$4,2,1))</f>
      </c>
      <c r="M513" t="s">
        <v>28</v>
      </c>
      <c r="N513" t="s">
        <v>29</v>
      </c>
    </row>
    <row r="514" spans="1:14" x14ac:dyDescent="0.25">
      <c r="A514" s="5" t="s">
        <v>641</v>
      </c>
      <c r="B514" s="5" t="s">
        <v>1126</v>
      </c>
      <c r="C514" s="5" t="s">
        <v>25</v>
      </c>
      <c r="D514" s="5" t="s">
        <v>1129</v>
      </c>
      <c r="E514" s="5" t="s">
        <v>1130</v>
      </c>
      <c r="F514" s="5">
        <v>5</v>
      </c>
      <c r="G514" s="5">
        <v>3</v>
      </c>
      <c r="H514" s="5">
        <v>8</v>
      </c>
      <c r="I514" s="6">
        <v>1</v>
      </c>
      <c r="J514" s="6">
        <v>0</v>
      </c>
      <c r="K514" s="6">
        <f>Parametri!$B$6*I514+Parametri!$B$7*J514</f>
      </c>
      <c r="L514" s="5">
        <f>IF(K514&gt;=Parametri!$B$3,3,IF(K514&gt;=Parametri!$B$4,2,1))</f>
      </c>
      <c r="M514" s="5" t="s">
        <v>28</v>
      </c>
      <c r="N514" s="5" t="s">
        <v>29</v>
      </c>
    </row>
    <row r="515" spans="1:14" x14ac:dyDescent="0.25">
      <c r="A515" t="s">
        <v>641</v>
      </c>
      <c r="B515" t="s">
        <v>1131</v>
      </c>
      <c r="C515" t="s">
        <v>25</v>
      </c>
      <c r="D515" t="s">
        <v>1132</v>
      </c>
      <c r="E515" t="s">
        <v>1133</v>
      </c>
      <c r="F515">
        <v>4</v>
      </c>
      <c r="G515">
        <v>6</v>
      </c>
      <c r="H515">
        <v>10</v>
      </c>
      <c r="I515" s="7">
        <v>0</v>
      </c>
      <c r="J515" s="7">
        <v>1</v>
      </c>
      <c r="K515" s="7">
        <f>Parametri!$B$6*I515+Parametri!$B$7*J515</f>
      </c>
      <c r="L515">
        <f>IF(K515&gt;=Parametri!$B$3,3,IF(K515&gt;=Parametri!$B$4,2,1))</f>
      </c>
      <c r="M515" t="s">
        <v>28</v>
      </c>
      <c r="N515" t="s">
        <v>29</v>
      </c>
    </row>
    <row r="516" spans="1:14" x14ac:dyDescent="0.25">
      <c r="A516" s="5" t="s">
        <v>641</v>
      </c>
      <c r="B516" s="5" t="s">
        <v>1131</v>
      </c>
      <c r="C516" s="5" t="s">
        <v>25</v>
      </c>
      <c r="D516" s="5" t="s">
        <v>1134</v>
      </c>
      <c r="E516" s="5" t="s">
        <v>1135</v>
      </c>
      <c r="F516" s="5">
        <v>5</v>
      </c>
      <c r="G516" s="5">
        <v>7</v>
      </c>
      <c r="H516" s="5">
        <v>12</v>
      </c>
      <c r="I516" s="6">
        <v>1</v>
      </c>
      <c r="J516" s="6">
        <v>0</v>
      </c>
      <c r="K516" s="6">
        <f>Parametri!$B$6*I516+Parametri!$B$7*J516</f>
      </c>
      <c r="L516" s="5">
        <f>IF(K516&gt;=Parametri!$B$3,3,IF(K516&gt;=Parametri!$B$4,2,1))</f>
      </c>
      <c r="M516" s="5" t="s">
        <v>28</v>
      </c>
      <c r="N516" s="5" t="s">
        <v>29</v>
      </c>
    </row>
    <row r="517" spans="1:14" x14ac:dyDescent="0.25">
      <c r="A517" t="s">
        <v>641</v>
      </c>
      <c r="B517" t="s">
        <v>1136</v>
      </c>
      <c r="C517" t="s">
        <v>25</v>
      </c>
      <c r="D517" t="s">
        <v>1137</v>
      </c>
      <c r="E517" t="s">
        <v>1138</v>
      </c>
      <c r="F517">
        <v>6</v>
      </c>
      <c r="G517">
        <v>3</v>
      </c>
      <c r="H517">
        <v>9</v>
      </c>
      <c r="I517" s="7">
        <v>0</v>
      </c>
      <c r="J517" s="7">
        <v>0</v>
      </c>
      <c r="K517" s="7">
        <f>Parametri!$B$6*I517+Parametri!$B$7*J517</f>
      </c>
      <c r="L517">
        <f>IF(K517&gt;=Parametri!$B$3,3,IF(K517&gt;=Parametri!$B$4,2,1))</f>
      </c>
      <c r="M517" t="s">
        <v>28</v>
      </c>
      <c r="N517" t="s">
        <v>29</v>
      </c>
    </row>
    <row r="518" spans="1:14" x14ac:dyDescent="0.25">
      <c r="A518" s="5" t="s">
        <v>641</v>
      </c>
      <c r="B518" s="5" t="s">
        <v>1136</v>
      </c>
      <c r="C518" s="5" t="s">
        <v>25</v>
      </c>
      <c r="D518" s="5" t="s">
        <v>1139</v>
      </c>
      <c r="E518" s="5" t="s">
        <v>1140</v>
      </c>
      <c r="F518" s="5">
        <v>7</v>
      </c>
      <c r="G518" s="5">
        <v>2</v>
      </c>
      <c r="H518" s="5">
        <v>9</v>
      </c>
      <c r="I518" s="6">
        <v>1</v>
      </c>
      <c r="J518" s="6">
        <v>1</v>
      </c>
      <c r="K518" s="6">
        <f>Parametri!$B$6*I518+Parametri!$B$7*J518</f>
      </c>
      <c r="L518" s="5">
        <f>IF(K518&gt;=Parametri!$B$3,3,IF(K518&gt;=Parametri!$B$4,2,1))</f>
      </c>
      <c r="M518" s="5" t="s">
        <v>28</v>
      </c>
      <c r="N518" s="5" t="s">
        <v>29</v>
      </c>
    </row>
    <row r="519" spans="1:14" x14ac:dyDescent="0.25">
      <c r="A519" t="s">
        <v>641</v>
      </c>
      <c r="B519" t="s">
        <v>1141</v>
      </c>
      <c r="C519" t="s">
        <v>25</v>
      </c>
      <c r="D519" t="s">
        <v>1142</v>
      </c>
      <c r="E519" t="s">
        <v>1143</v>
      </c>
      <c r="F519">
        <v>6</v>
      </c>
      <c r="G519">
        <v>2</v>
      </c>
      <c r="H519">
        <v>8</v>
      </c>
      <c r="I519" s="7">
        <v>1</v>
      </c>
      <c r="J519" s="7">
        <v>1</v>
      </c>
      <c r="K519" s="7">
        <f>Parametri!$B$6*I519+Parametri!$B$7*J519</f>
      </c>
      <c r="L519">
        <f>IF(K519&gt;=Parametri!$B$3,3,IF(K519&gt;=Parametri!$B$4,2,1))</f>
      </c>
      <c r="M519" t="s">
        <v>28</v>
      </c>
      <c r="N519" t="s">
        <v>29</v>
      </c>
    </row>
    <row r="520" spans="1:14" x14ac:dyDescent="0.25">
      <c r="A520" s="5" t="s">
        <v>641</v>
      </c>
      <c r="B520" s="5" t="s">
        <v>1141</v>
      </c>
      <c r="C520" s="5" t="s">
        <v>25</v>
      </c>
      <c r="D520" s="5" t="s">
        <v>1144</v>
      </c>
      <c r="E520" s="5" t="s">
        <v>1145</v>
      </c>
      <c r="F520" s="5">
        <v>4</v>
      </c>
      <c r="G520" s="5">
        <v>3</v>
      </c>
      <c r="H520" s="5">
        <v>7</v>
      </c>
      <c r="I520" s="6">
        <v>0</v>
      </c>
      <c r="J520" s="6">
        <v>0</v>
      </c>
      <c r="K520" s="6">
        <f>Parametri!$B$6*I520+Parametri!$B$7*J520</f>
      </c>
      <c r="L520" s="5">
        <f>IF(K520&gt;=Parametri!$B$3,3,IF(K520&gt;=Parametri!$B$4,2,1))</f>
      </c>
      <c r="M520" s="5" t="s">
        <v>28</v>
      </c>
      <c r="N520" s="5" t="s">
        <v>29</v>
      </c>
    </row>
    <row r="521" spans="1:14" x14ac:dyDescent="0.25">
      <c r="A521" t="s">
        <v>641</v>
      </c>
      <c r="B521" t="s">
        <v>1146</v>
      </c>
      <c r="C521" t="s">
        <v>25</v>
      </c>
      <c r="D521" t="s">
        <v>1147</v>
      </c>
      <c r="E521" t="s">
        <v>1148</v>
      </c>
      <c r="F521">
        <v>4</v>
      </c>
      <c r="G521">
        <v>2</v>
      </c>
      <c r="H521">
        <v>6</v>
      </c>
      <c r="I521" s="7">
        <v>0</v>
      </c>
      <c r="J521" s="7">
        <v>0</v>
      </c>
      <c r="K521" s="7">
        <f>Parametri!$B$6*I521+Parametri!$B$7*J521</f>
      </c>
      <c r="L521">
        <f>IF(K521&gt;=Parametri!$B$3,3,IF(K521&gt;=Parametri!$B$4,2,1))</f>
      </c>
      <c r="M521" t="s">
        <v>28</v>
      </c>
      <c r="N521" t="s">
        <v>29</v>
      </c>
    </row>
    <row r="522" spans="1:14" x14ac:dyDescent="0.25">
      <c r="A522" s="5" t="s">
        <v>641</v>
      </c>
      <c r="B522" s="5" t="s">
        <v>1146</v>
      </c>
      <c r="C522" s="5" t="s">
        <v>25</v>
      </c>
      <c r="D522" s="5" t="s">
        <v>1149</v>
      </c>
      <c r="E522" s="5" t="s">
        <v>1150</v>
      </c>
      <c r="F522" s="5">
        <v>5</v>
      </c>
      <c r="G522" s="5">
        <v>2</v>
      </c>
      <c r="H522" s="5">
        <v>7</v>
      </c>
      <c r="I522" s="6">
        <v>1</v>
      </c>
      <c r="J522" s="6">
        <v>0</v>
      </c>
      <c r="K522" s="6">
        <f>Parametri!$B$6*I522+Parametri!$B$7*J522</f>
      </c>
      <c r="L522" s="5">
        <f>IF(K522&gt;=Parametri!$B$3,3,IF(K522&gt;=Parametri!$B$4,2,1))</f>
      </c>
      <c r="M522" s="5" t="s">
        <v>28</v>
      </c>
      <c r="N522" s="5" t="s">
        <v>29</v>
      </c>
    </row>
    <row r="523" spans="1:14" x14ac:dyDescent="0.25">
      <c r="A523" t="s">
        <v>641</v>
      </c>
      <c r="B523" t="s">
        <v>1151</v>
      </c>
      <c r="C523" t="s">
        <v>25</v>
      </c>
      <c r="D523" t="s">
        <v>1152</v>
      </c>
      <c r="E523" t="s">
        <v>1153</v>
      </c>
      <c r="F523">
        <v>6</v>
      </c>
      <c r="G523">
        <v>3</v>
      </c>
      <c r="H523">
        <v>9</v>
      </c>
      <c r="I523" s="7">
        <v>0</v>
      </c>
      <c r="J523" s="7">
        <v>0</v>
      </c>
      <c r="K523" s="7">
        <f>Parametri!$B$6*I523+Parametri!$B$7*J523</f>
      </c>
      <c r="L523">
        <f>IF(K523&gt;=Parametri!$B$3,3,IF(K523&gt;=Parametri!$B$4,2,1))</f>
      </c>
      <c r="M523" t="s">
        <v>28</v>
      </c>
      <c r="N523" t="s">
        <v>29</v>
      </c>
    </row>
    <row r="524" spans="1:14" x14ac:dyDescent="0.25">
      <c r="A524" s="5" t="s">
        <v>641</v>
      </c>
      <c r="B524" s="5" t="s">
        <v>1151</v>
      </c>
      <c r="C524" s="5" t="s">
        <v>25</v>
      </c>
      <c r="D524" s="5" t="s">
        <v>1154</v>
      </c>
      <c r="E524" s="5" t="s">
        <v>1155</v>
      </c>
      <c r="F524" s="5">
        <v>7</v>
      </c>
      <c r="G524" s="5">
        <v>2</v>
      </c>
      <c r="H524" s="5">
        <v>9</v>
      </c>
      <c r="I524" s="6">
        <v>1</v>
      </c>
      <c r="J524" s="6">
        <v>1</v>
      </c>
      <c r="K524" s="6">
        <f>Parametri!$B$6*I524+Parametri!$B$7*J524</f>
      </c>
      <c r="L524" s="5">
        <f>IF(K524&gt;=Parametri!$B$3,3,IF(K524&gt;=Parametri!$B$4,2,1))</f>
      </c>
      <c r="M524" s="5" t="s">
        <v>28</v>
      </c>
      <c r="N524" s="5" t="s">
        <v>29</v>
      </c>
    </row>
    <row r="525" spans="1:14" x14ac:dyDescent="0.25">
      <c r="A525" t="s">
        <v>641</v>
      </c>
      <c r="B525" t="s">
        <v>1156</v>
      </c>
      <c r="C525" t="s">
        <v>25</v>
      </c>
      <c r="D525" t="s">
        <v>1157</v>
      </c>
      <c r="E525" t="s">
        <v>1158</v>
      </c>
      <c r="F525">
        <v>7</v>
      </c>
      <c r="G525">
        <v>2</v>
      </c>
      <c r="H525">
        <v>9</v>
      </c>
      <c r="I525" s="7">
        <v>0</v>
      </c>
      <c r="J525" s="7">
        <v>0</v>
      </c>
      <c r="K525" s="7">
        <f>Parametri!$B$6*I525+Parametri!$B$7*J525</f>
      </c>
      <c r="L525">
        <f>IF(K525&gt;=Parametri!$B$3,3,IF(K525&gt;=Parametri!$B$4,2,1))</f>
      </c>
      <c r="M525" t="s">
        <v>28</v>
      </c>
      <c r="N525" t="s">
        <v>29</v>
      </c>
    </row>
    <row r="526" spans="1:14" x14ac:dyDescent="0.25">
      <c r="A526" s="5" t="s">
        <v>641</v>
      </c>
      <c r="B526" s="5" t="s">
        <v>1156</v>
      </c>
      <c r="C526" s="5" t="s">
        <v>25</v>
      </c>
      <c r="D526" s="5" t="s">
        <v>1159</v>
      </c>
      <c r="E526" s="5" t="s">
        <v>663</v>
      </c>
      <c r="F526" s="5">
        <v>10</v>
      </c>
      <c r="G526" s="5">
        <v>1</v>
      </c>
      <c r="H526" s="5">
        <v>11</v>
      </c>
      <c r="I526" s="6">
        <v>1</v>
      </c>
      <c r="J526" s="6">
        <v>1</v>
      </c>
      <c r="K526" s="6">
        <f>Parametri!$B$6*I526+Parametri!$B$7*J526</f>
      </c>
      <c r="L526" s="5">
        <f>IF(K526&gt;=Parametri!$B$3,3,IF(K526&gt;=Parametri!$B$4,2,1))</f>
      </c>
      <c r="M526" s="5" t="s">
        <v>28</v>
      </c>
      <c r="N526" s="5" t="s">
        <v>29</v>
      </c>
    </row>
    <row r="527" spans="1:14" x14ac:dyDescent="0.25">
      <c r="A527" t="s">
        <v>641</v>
      </c>
      <c r="B527" t="s">
        <v>1160</v>
      </c>
      <c r="C527" t="s">
        <v>25</v>
      </c>
      <c r="D527" t="s">
        <v>1161</v>
      </c>
      <c r="E527" t="s">
        <v>1162</v>
      </c>
      <c r="F527">
        <v>7</v>
      </c>
      <c r="G527">
        <v>1</v>
      </c>
      <c r="H527">
        <v>8</v>
      </c>
      <c r="I527" s="7">
        <v>1</v>
      </c>
      <c r="J527" s="7">
        <v>1</v>
      </c>
      <c r="K527" s="7">
        <f>Parametri!$B$6*I527+Parametri!$B$7*J527</f>
      </c>
      <c r="L527">
        <f>IF(K527&gt;=Parametri!$B$3,3,IF(K527&gt;=Parametri!$B$4,2,1))</f>
      </c>
      <c r="M527" t="s">
        <v>28</v>
      </c>
      <c r="N527" t="s">
        <v>29</v>
      </c>
    </row>
    <row r="528" spans="1:14" x14ac:dyDescent="0.25">
      <c r="A528" s="5" t="s">
        <v>641</v>
      </c>
      <c r="B528" s="5" t="s">
        <v>1160</v>
      </c>
      <c r="C528" s="5" t="s">
        <v>25</v>
      </c>
      <c r="D528" s="5" t="s">
        <v>1163</v>
      </c>
      <c r="E528" s="5" t="s">
        <v>1164</v>
      </c>
      <c r="F528" s="5">
        <v>7</v>
      </c>
      <c r="G528" s="5">
        <v>3</v>
      </c>
      <c r="H528" s="5">
        <v>10</v>
      </c>
      <c r="I528" s="6">
        <v>1</v>
      </c>
      <c r="J528" s="6">
        <v>0</v>
      </c>
      <c r="K528" s="6">
        <f>Parametri!$B$6*I528+Parametri!$B$7*J528</f>
      </c>
      <c r="L528" s="5">
        <f>IF(K528&gt;=Parametri!$B$3,3,IF(K528&gt;=Parametri!$B$4,2,1))</f>
      </c>
      <c r="M528" s="5" t="s">
        <v>28</v>
      </c>
      <c r="N528" s="5" t="s">
        <v>29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1" width="70" customWidth="1"/>
  </cols>
  <sheetData>
    <row r="1" spans="1:1" x14ac:dyDescent="0.25">
      <c r="A1" s="9" t="s">
        <v>1165</v>
      </c>
    </row>
    <row r="2" spans="1:1" x14ac:dyDescent="0.25">
      <c r="A2" t="s">
        <v>28</v>
      </c>
    </row>
    <row r="3" spans="1:1" x14ac:dyDescent="0.25">
      <c r="A3" t="s">
        <v>1166</v>
      </c>
    </row>
    <row r="4" spans="1:1" x14ac:dyDescent="0.25">
      <c r="A4" t="s">
        <v>1167</v>
      </c>
    </row>
    <row r="5" spans="1:1" x14ac:dyDescent="0.25">
      <c r="A5" t="s">
        <v>1168</v>
      </c>
    </row>
    <row r="6" spans="1:1" x14ac:dyDescent="0.25">
      <c r="A6" t="s">
        <v>1169</v>
      </c>
    </row>
    <row r="7" spans="1:1" x14ac:dyDescent="0.25">
      <c r="A7" t="s">
        <v>1170</v>
      </c>
    </row>
    <row r="8" spans="1:1" x14ac:dyDescent="0.25">
      <c r="A8" t="s">
        <v>28</v>
      </c>
    </row>
    <row r="9" spans="1:1" x14ac:dyDescent="0.25">
      <c r="A9" t="s">
        <v>1171</v>
      </c>
    </row>
    <row r="10" spans="1:1" x14ac:dyDescent="0.25">
      <c r="A10" t="s">
        <v>28</v>
      </c>
    </row>
    <row r="11" spans="1:1" x14ac:dyDescent="0.25">
      <c r="A11" t="s">
        <v>1172</v>
      </c>
    </row>
    <row r="12" spans="1:1" x14ac:dyDescent="0.25">
      <c r="A12" t="s">
        <v>1173</v>
      </c>
    </row>
    <row r="13" spans="1:1" x14ac:dyDescent="0.25">
      <c r="A13" t="s">
        <v>1174</v>
      </c>
    </row>
    <row r="14" spans="1:1" x14ac:dyDescent="0.25">
      <c r="A14" t="s">
        <v>1175</v>
      </c>
    </row>
    <row r="15" spans="1:1" x14ac:dyDescent="0.25">
      <c r="A15" t="s">
        <v>1176</v>
      </c>
    </row>
    <row r="16" spans="1:1" x14ac:dyDescent="0.25">
      <c r="A16" t="s">
        <v>1177</v>
      </c>
    </row>
    <row r="17" spans="1:1" x14ac:dyDescent="0.25">
      <c r="A17" t="s">
        <v>28</v>
      </c>
    </row>
    <row r="18" spans="1:1" x14ac:dyDescent="0.25">
      <c r="A18" t="s">
        <v>1178</v>
      </c>
    </row>
    <row r="19" spans="1:1" x14ac:dyDescent="0.25">
      <c r="A19" t="s">
        <v>28</v>
      </c>
    </row>
    <row r="20" spans="1:1" x14ac:dyDescent="0.25">
      <c r="A20" t="s">
        <v>1179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Parametri</vt:lpstr>
      <vt:lpstr>Dati</vt:lpstr>
      <vt:lpstr>Istruzioni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Surprix</dc:creator>
  <dc:title/>
  <dc:subject/>
  <dc:description/>
  <cp:keywords/>
  <cp:category/>
  <cp:lastModifiedBy>Unknown</cp:lastModifiedBy>
  <dcterms:created xsi:type="dcterms:W3CDTF">2026-04-27T16:49:00Z</dcterms:created>
  <dcterms:modified xsi:type="dcterms:W3CDTF">2026-04-27T16:49:00Z</dcterms:modified>
</cp:coreProperties>
</file>